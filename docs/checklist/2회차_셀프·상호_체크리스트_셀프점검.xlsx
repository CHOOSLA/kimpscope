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체크리스트" sheetId="1" state="visible" r:id="rId1"/>
    <sheet xmlns:r="http://schemas.openxmlformats.org/officeDocument/2006/relationships" name="작성 안내" sheetId="2" state="visible" r:id="rId2"/>
  </sheets>
  <definedNames>
    <definedName name="_xlnm.Print_Titles" localSheetId="0">'체크리스트'!$8:$8</definedName>
    <definedName name="_xlnm.Print_Area" localSheetId="0">'체크리스트'!$B$2:$I$46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5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29"/>
      <family val="3"/>
      <b val="1"/>
      <sz val="14"/>
    </font>
    <font>
      <name val="Noto Sans CJK SC"/>
      <family val="2"/>
      <b val="1"/>
      <sz val="14"/>
    </font>
    <font>
      <name val="Noto Sans CJK SC"/>
      <family val="2"/>
      <b val="1"/>
      <sz val="11"/>
    </font>
    <font>
      <name val="맑은 고딕"/>
      <charset val="129"/>
      <family val="3"/>
      <sz val="10"/>
    </font>
    <font>
      <name val="Noto Sans CJK SC"/>
      <family val="2"/>
      <sz val="10"/>
    </font>
    <font>
      <name val="Noto Sans CJK SC"/>
      <family val="2"/>
      <color rgb="FF595959"/>
      <sz val="9"/>
    </font>
    <font>
      <name val="맑은 고딕"/>
      <charset val="1"/>
      <family val="0"/>
      <color rgb="FF595959"/>
      <sz val="9"/>
    </font>
    <font>
      <name val="맑은 고딕"/>
      <charset val="129"/>
      <family val="3"/>
      <b val="1"/>
      <sz val="11"/>
    </font>
    <font>
      <name val="Noto Sans CJK SC"/>
      <family val="2"/>
      <b val="1"/>
      <sz val="10"/>
    </font>
    <font>
      <name val="맑은 고딕"/>
      <charset val="129"/>
      <family val="3"/>
      <b val="1"/>
      <sz val="10"/>
    </font>
    <font>
      <name val="맑은 고딕"/>
      <charset val="1"/>
      <family val="0"/>
      <b val="1"/>
      <sz val="11"/>
    </font>
    <font>
      <name val="맑은 고딕"/>
      <charset val="1"/>
      <family val="0"/>
      <sz val="10"/>
    </font>
    <font>
      <name val="Noto Sans CJK SC"/>
      <family val="2"/>
      <b val="1"/>
      <color rgb="FF000000"/>
      <sz val="14"/>
    </font>
    <font>
      <name val="맑은 고딕"/>
      <charset val="1"/>
      <family val="0"/>
      <b val="1"/>
      <color rgb="FF000000"/>
      <sz val="14"/>
    </font>
    <font>
      <name val="Noto Sans CJK SC"/>
      <family val="2"/>
      <b val="1"/>
      <color rgb="FF000000"/>
      <sz val="10"/>
    </font>
    <font>
      <name val="Noto Sans CJK SC"/>
      <family val="2"/>
      <color rgb="FF000000"/>
      <sz val="10"/>
    </font>
    <font>
      <name val="맑은 고딕"/>
      <charset val="1"/>
      <family val="0"/>
      <color rgb="FF000000"/>
      <sz val="10"/>
    </font>
    <font>
      <name val="Noto Sans CJK SC"/>
      <family val="2"/>
      <b val="1"/>
      <color rgb="FFC00000"/>
      <sz val="10"/>
    </font>
    <font>
      <name val="맑은 고딕"/>
      <charset val="1"/>
      <family val="0"/>
      <b val="1"/>
      <color rgb="FFC00000"/>
      <sz val="10"/>
    </font>
    <font>
      <name val="맑은 고딕"/>
      <charset val="1"/>
      <family val="0"/>
      <b val="1"/>
      <color rgb="FF000000"/>
      <sz val="10"/>
    </font>
    <font>
      <name val="맑은 고딕"/>
      <charset val="1"/>
      <family val="0"/>
      <b val="1"/>
      <sz val="10"/>
    </font>
  </fonts>
  <fills count="10">
    <fill>
      <patternFill/>
    </fill>
    <fill>
      <patternFill patternType="gray125"/>
    </fill>
    <fill>
      <patternFill patternType="solid">
        <fgColor rgb="FFFFE699"/>
        <bgColor rgb="FFFFEB9C"/>
      </patternFill>
    </fill>
    <fill>
      <patternFill patternType="solid">
        <fgColor rgb="FFD9D9D9"/>
        <bgColor rgb="FFE2EFDA"/>
      </patternFill>
    </fill>
    <fill>
      <patternFill patternType="solid">
        <fgColor rgb="FFFFF8E1"/>
        <bgColor rgb="FFFFF2CC"/>
      </patternFill>
    </fill>
    <fill>
      <patternFill patternType="solid">
        <fgColor rgb="FFDAF2D0"/>
        <bgColor rgb="FFE2EFDA"/>
      </patternFill>
    </fill>
    <fill>
      <patternFill patternType="solid">
        <fgColor rgb="FFE2EFDA"/>
        <bgColor rgb="FFDAF2D0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FFF2CC"/>
        <bgColor rgb="FFFFF8E1"/>
      </patternFill>
    </fill>
  </fills>
  <borders count="18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 style="thin"/>
      <bottom style="thin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8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bottom"/>
    </xf>
    <xf numFmtId="0" fontId="6" fillId="5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8" fillId="3" borderId="2" applyAlignment="1" pivotButton="0" quotePrefix="0" xfId="0">
      <alignment horizontal="center" vertical="center" wrapText="1"/>
    </xf>
    <xf numFmtId="0" fontId="19" fillId="0" borderId="2" applyAlignment="1" pivotButton="0" quotePrefix="0" xfId="0">
      <alignment horizontal="left" vertical="center" wrapText="1"/>
    </xf>
    <xf numFmtId="0" fontId="21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2" fillId="3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8" fillId="0" borderId="2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9" fillId="0" borderId="0" applyAlignment="1" pivotButton="0" quotePrefix="0" xfId="0">
      <alignment horizontal="general" vertical="bottom"/>
    </xf>
    <xf numFmtId="0" fontId="6" fillId="5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6" pivotButton="0" quotePrefix="0" xfId="0"/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8" fillId="3" borderId="2" applyAlignment="1" pivotButton="0" quotePrefix="0" xfId="0">
      <alignment horizontal="center" vertical="center" wrapText="1"/>
    </xf>
    <xf numFmtId="0" fontId="19" fillId="0" borderId="2" applyAlignment="1" pivotButton="0" quotePrefix="0" xfId="0">
      <alignment horizontal="left" vertical="center" wrapText="1"/>
    </xf>
    <xf numFmtId="0" fontId="21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2" fillId="3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9C5700"/>
      </font>
      <fill>
        <patternFill>
          <bgColor rgb="FFFFEB9C"/>
        </patternFill>
      </fill>
    </dxf>
    <dxf>
      <font>
        <b val="1"/>
        <color rgb="FF595959"/>
      </font>
      <fill>
        <patternFill>
          <bgColor rgb="FFEDEDED"/>
        </patternFill>
      </fill>
    </dxf>
  </dxfs>
  <colors>
    <indexedColors>
      <rgbColor rgb="FF000000"/>
      <rgbColor rgb="FFEDEDED"/>
      <rgbColor rgb="FFC00000"/>
      <rgbColor rgb="FF00FF00"/>
      <rgbColor rgb="FF0000FF"/>
      <rgbColor rgb="FFFFE699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CE4D6"/>
      <rgbColor rgb="FF808080"/>
      <rgbColor rgb="FF9999FF"/>
      <rgbColor rgb="FF993366"/>
      <rgbColor rgb="FFFFF8E1"/>
      <rgbColor rgb="FFC6EFC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AF2D0"/>
      <rgbColor rgb="FFFFEB9C"/>
      <rgbColor rgb="FFFFF2CC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B2:I46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A1" activeCellId="0" sqref="A1"/>
    </sheetView>
  </sheetViews>
  <sheetFormatPr baseColWidth="8" defaultColWidth="8.53125" defaultRowHeight="16.5" zeroHeight="0" outlineLevelRow="0"/>
  <cols>
    <col width="3" customWidth="1" style="27" min="1" max="1"/>
    <col width="13" customWidth="1" style="27" min="2" max="2"/>
    <col width="6" customWidth="1" style="27" min="3" max="3"/>
    <col width="14" customWidth="1" style="27" min="4" max="4"/>
    <col width="50" customWidth="1" style="27" min="5" max="5"/>
    <col width="46" customWidth="1" style="27" min="6" max="6"/>
    <col width="11" customWidth="1" style="27" min="7" max="7"/>
    <col width="24" customWidth="1" style="27" min="8" max="8"/>
    <col width="30" customWidth="1" style="27" min="9" max="9"/>
  </cols>
  <sheetData>
    <row r="2" ht="39.75" customHeight="1" s="28">
      <c r="B2" s="29" t="inlineStr">
        <is>
          <t>[SSAFY] AI 코어 프로젝트 2회차 — 셀프 · 상호 체크리스트</t>
        </is>
      </c>
      <c r="C2" s="30" t="n"/>
      <c r="D2" s="30" t="n"/>
      <c r="E2" s="30" t="n"/>
      <c r="F2" s="30" t="n"/>
      <c r="G2" s="30" t="n"/>
      <c r="H2" s="30" t="n"/>
      <c r="I2" s="31" t="n"/>
    </row>
    <row r="3" ht="24" customHeight="1" s="28">
      <c r="B3" s="32" t="inlineStr">
        <is>
          <t>점검 유형</t>
        </is>
      </c>
      <c r="C3" s="33" t="inlineStr">
        <is>
          <t>셀프</t>
        </is>
      </c>
      <c r="D3" s="34" t="n"/>
      <c r="E3" s="35" t="n"/>
      <c r="F3" s="36" t="inlineStr">
        <is>
          <t>결과 기입 기준
· 통과: 직접 실행해 기대한 결과를 확인함 (증명이 필요한 항목은 증빙 첨부)
· 실패: 실행했으나 기대와 다름 → 비고에 사유와 조치
· 미확인: 실행하지 못함 → 비고에 사유
· 해당없음: 선택하지 않은 심화 항목, 해당하지 않는 도메인 항목
※ 확인하지 않은 것을 통과로 적지 않습니다.</t>
        </is>
      </c>
      <c r="G3" s="37" t="n"/>
      <c r="H3" s="37" t="n"/>
      <c r="I3" s="38" t="n"/>
    </row>
    <row r="4" ht="24" customHeight="1" s="28">
      <c r="B4" s="32" t="inlineStr">
        <is>
          <t>앱 작성자</t>
        </is>
      </c>
      <c r="C4" s="33" t="inlineStr">
        <is>
          <t>추창우</t>
        </is>
      </c>
      <c r="D4" s="34" t="n"/>
      <c r="E4" s="35" t="n"/>
      <c r="F4" s="39" t="n"/>
      <c r="I4" s="40" t="n"/>
    </row>
    <row r="5" ht="24" customHeight="1" s="28">
      <c r="B5" s="32" t="inlineStr">
        <is>
          <t>점검자</t>
        </is>
      </c>
      <c r="C5" s="33" t="inlineStr">
        <is>
          <t>추창우 (실행: Claude)</t>
        </is>
      </c>
      <c r="D5" s="34" t="n"/>
      <c r="E5" s="35" t="n"/>
      <c r="F5" s="39" t="n"/>
      <c r="I5" s="40" t="n"/>
    </row>
    <row r="6" ht="24" customHeight="1" s="28">
      <c r="B6" s="32" t="inlineStr">
        <is>
          <t>점검 일시</t>
        </is>
      </c>
      <c r="C6" s="33" t="inlineStr">
        <is>
          <t>2026-10-23 15:50~16:25 KST</t>
        </is>
      </c>
      <c r="D6" s="34" t="n"/>
      <c r="E6" s="35" t="n"/>
      <c r="F6" s="41" t="n"/>
      <c r="G6" s="42" t="n"/>
      <c r="H6" s="42" t="n"/>
      <c r="I6" s="43" t="n"/>
    </row>
    <row r="7" ht="18" customHeight="1" s="28">
      <c r="B7" s="44" t="inlineStr">
        <is>
          <t>연한 노란 칸만 입력합니다.  결과(G열)는 목록에서 고릅니다 — 통과 · 실패 · 미확인 · 해당없음</t>
        </is>
      </c>
    </row>
    <row r="8" ht="24" customHeight="1" s="28">
      <c r="B8" s="32" t="inlineStr">
        <is>
          <t>영역</t>
        </is>
      </c>
      <c r="C8" s="32" t="inlineStr">
        <is>
          <t>번호</t>
        </is>
      </c>
      <c r="D8" s="32" t="inlineStr">
        <is>
          <t>요구사항</t>
        </is>
      </c>
      <c r="E8" s="32" t="inlineStr">
        <is>
          <t>확인 항목</t>
        </is>
      </c>
      <c r="F8" s="32" t="inlineStr">
        <is>
          <t>확인 방법</t>
        </is>
      </c>
      <c r="G8" s="32" t="inlineStr">
        <is>
          <t>결과</t>
        </is>
      </c>
      <c r="H8" s="32" t="inlineStr">
        <is>
          <t>증빙 (캡처 · 파일명)</t>
        </is>
      </c>
      <c r="I8" s="32" t="inlineStr">
        <is>
          <t>비고 (실패 · 미확인 사유)</t>
        </is>
      </c>
    </row>
    <row r="9" ht="34.5" customHeight="1" s="28">
      <c r="B9" s="45" t="inlineStr">
        <is>
          <t>데이터와 색인</t>
        </is>
      </c>
      <c r="C9" s="46" t="n">
        <v>1</v>
      </c>
      <c r="D9" s="46" t="inlineStr">
        <is>
          <t>F2001</t>
        </is>
      </c>
      <c r="E9" s="36" t="inlineStr">
        <is>
          <t>로드한 항목 수와 색인된 청크 수가 일치하고, 항목 1건의 색인 텍스트에 의도한 속성이 모두 들어 있다</t>
        </is>
      </c>
      <c r="F9" s="36" t="inlineStr">
        <is>
          <t>로드 건수와 컬렉션 건수를 출력해 비교하고, 항목 1건의 색인 텍스트 확인</t>
        </is>
      </c>
      <c r="G9" s="47" t="inlineStr">
        <is>
          <t>통과</t>
        </is>
      </c>
      <c r="H9" s="33" t="inlineStr">
        <is>
          <t>local_index.json, api_run.json</t>
        </is>
      </c>
      <c r="I9" s="33" t="inlineStr">
        <is>
          <t>로드 298건 = items 컬렉션 298건(로컬·운영 모두). BTC 색인 텍스트에 한글명·영문명·심볼·거래 페어·기준 통화·거래소·유의종목 여부가 모두 있다.</t>
        </is>
      </c>
    </row>
    <row r="10" ht="24" customHeight="1" s="28">
      <c r="B10" s="48" t="n"/>
      <c r="C10" s="46" t="n">
        <v>2</v>
      </c>
      <c r="D10" s="46" t="inlineStr">
        <is>
          <t>F2002</t>
        </is>
      </c>
      <c r="E10" s="36" t="inlineStr">
        <is>
          <t>색인 작업을 두 번 실행해도 청크 수가 늘지 않는다</t>
        </is>
      </c>
      <c r="F10" s="36" t="inlineStr">
        <is>
          <t>스크립트를 두 번 실행하고 전후 청크 수 비교</t>
        </is>
      </c>
      <c r="G10" s="47" t="inlineStr">
        <is>
          <t>통과</t>
        </is>
      </c>
      <c r="H10" s="33" t="inlineStr">
        <is>
          <t>local_index.json, api_run.json</t>
        </is>
      </c>
      <c r="I10" s="33" t="inlineStr">
        <is>
          <t>로컬: 메타데이터 298→298, 외부 문서 청크 7→7(같은 문서 두 번 색인). 운영: /api/index 재실행 후 indexed 298 유지('298건 색인 완료').</t>
        </is>
      </c>
    </row>
    <row r="11" ht="48" customHeight="1" s="28">
      <c r="B11" s="45" t="inlineStr">
        <is>
          <t>문서 수집과 색인</t>
        </is>
      </c>
      <c r="C11" s="46" t="n">
        <v>3</v>
      </c>
      <c r="D11" s="46" t="inlineStr">
        <is>
          <t>F2003 · F2004</t>
        </is>
      </c>
      <c r="E11" s="36" t="inlineStr">
        <is>
          <t>검색어 추출(프롬프트 1)이 뽑은 검색어 목록이 확인되고, 후보 선별(프롬프트 2)에 따라 색인된 문서와 버려진 문서가 구분된다</t>
        </is>
      </c>
      <c r="F11" s="36" t="inlineStr">
        <is>
          <t>질문 1개를 실행하고 검색어 목록과 선별 결과를 나란히 출력</t>
        </is>
      </c>
      <c r="G11" s="47" t="inlineStr">
        <is>
          <t>통과</t>
        </is>
      </c>
      <c r="H11" s="33" t="inlineStr">
        <is>
          <t>api_run.json, screenshots/08_citation_list_and_keywords.jpg</t>
        </is>
      </c>
      <c r="I11" s="33" t="inlineStr">
        <is>
          <t>SOL 질문 1개: 프롬프트 1 검색어 6개(솔라나, SOL, 솔라나 입출금 중지 …), 프롬프트 2 선별 결과 색인 2건(자체 메타데이터, 빗썸 SOL 공지) / 제외 2건(업비트 API 문서 2). 화면 답변 아래에도 '검색어 … · 색인 n건 · 제외 m건' 표시. 검색어·선별 결과 출력은 이번 점검 중 추가한 기능(collection 응답).</t>
        </is>
      </c>
    </row>
    <row r="12" ht="34.5" customHeight="1" s="28">
      <c r="B12" s="49" t="n"/>
      <c r="C12" s="46" t="n">
        <v>4</v>
      </c>
      <c r="D12" s="46" t="inlineStr">
        <is>
          <t>F2004 · NF2002</t>
        </is>
      </c>
      <c r="E12" s="36" t="inlineStr">
        <is>
          <t>같은 질문을 다시 물었을 때 수집이 다시 일어나지 않는다</t>
        </is>
      </c>
      <c r="F12" s="36" t="inlineStr">
        <is>
          <t>같은 질문을 두 번 실행해 수집 로그와 처리 시간 비교</t>
        </is>
      </c>
      <c r="G12" s="47" t="inlineStr">
        <is>
          <t>통과</t>
        </is>
      </c>
      <c r="H12" s="33" t="inlineStr">
        <is>
          <t>api_run.json, tests/test_collection_report.py</t>
        </is>
      </c>
      <c r="I12" s="33" t="inlineStr">
        <is>
          <t>같은 질문 두 번: 1회차 cache_hit=false 23.3초, 2회차 cache_hit=true 13.8초, 문서 청크 수 6 유지. 2회차는 프롬프트 1·2와 수집을 건너뛰고 답변 생성만 다시 한다(테스트로 프롬프트 재호출 0회 확인).</t>
        </is>
      </c>
    </row>
    <row r="13" ht="34.5" customHeight="1" s="28">
      <c r="B13" s="48" t="n"/>
      <c r="C13" s="46" t="n">
        <v>5</v>
      </c>
      <c r="D13" s="46" t="inlineStr">
        <is>
          <t>F2005</t>
        </is>
      </c>
      <c r="E13" s="36" t="inlineStr">
        <is>
          <t>청크 크기 또는 중복 길이를 설정에서 바꿔 색인하면 청크 수가 달라진다</t>
        </is>
      </c>
      <c r="F13" s="36" t="inlineStr">
        <is>
          <t>설정값을 바꿔 재색인하고 청크 수 비교</t>
        </is>
      </c>
      <c r="G13" s="47" t="inlineStr">
        <is>
          <t>통과</t>
        </is>
      </c>
      <c r="H13" s="33" t="inlineStr">
        <is>
          <t>local_index.json</t>
        </is>
      </c>
      <c r="I13" s="33" t="inlineStr">
        <is>
          <t>청크 크기/중복 800/120 → 7개, 400/60 → 15개, 1200/200 → 5개. 로컬 실행이며 임베딩은 결정적 스텁, 문서는 저장소 장문(docs/LIVE_EVIDENCE.md 3,566자)을 썼다. 운영 문서로는 설정 변경 재배포가 필요해 실행하지 않았다. 청크 ID는 항목ID:문서ID:순번이라 BTC·ETH 간 겹침 0.</t>
        </is>
      </c>
    </row>
    <row r="14" ht="34.5" customHeight="1" s="28">
      <c r="B14" s="45" t="inlineStr">
        <is>
          <t>답변과 근거</t>
        </is>
      </c>
      <c r="C14" s="46" t="n">
        <v>6</v>
      </c>
      <c r="D14" s="46" t="inlineStr">
        <is>
          <t>F2006</t>
        </is>
      </c>
      <c r="E14" s="36" t="inlineStr">
        <is>
          <t>검색할 근거 수(Top-k)를 설정에서 바꾸면 같은 질문의 근거 목록이 달라진다</t>
        </is>
      </c>
      <c r="F14" s="50" t="inlineStr">
        <is>
          <t>Top-k 값을 바꿔 같은 질문을 실행하고 근거 목록 비교</t>
        </is>
      </c>
      <c r="G14" s="47" t="inlineStr">
        <is>
          <t>통과</t>
        </is>
      </c>
      <c r="H14" s="33" t="inlineStr">
        <is>
          <t>api_run.json</t>
        </is>
      </c>
      <c r="I14" s="33" t="inlineStr">
        <is>
          <t>같은 SOL 질문에서 Top-k 3 → 외부 문서 청크 2개, Top-k 8 → 5개(해당 공지의 청크 전부). 3이 2개인 것은 검색 상위에 든 자체 메타데이터 청크가 이미 넣은 항목 메타데이터와 같아 중복 제거됐기 때문이다. 메타데이터는 항상 1번.</t>
        </is>
      </c>
    </row>
    <row r="15" ht="34.5" customHeight="1" s="28">
      <c r="B15" s="49" t="n"/>
      <c r="C15" s="46" t="n">
        <v>7</v>
      </c>
      <c r="D15" s="46" t="inlineStr">
        <is>
          <t>F2007</t>
        </is>
      </c>
      <c r="E15" s="50" t="inlineStr">
        <is>
          <t>LangGraph가 retrieve와 generate 두 노드로 구성되어 있다</t>
        </is>
      </c>
      <c r="F15" s="36" t="inlineStr">
        <is>
          <t>그래프 구조 출력 또는 코드 캡처</t>
        </is>
      </c>
      <c r="G15" s="47" t="inlineStr">
        <is>
          <t>통과</t>
        </is>
      </c>
      <c r="H15" s="33" t="inlineStr">
        <is>
          <t>local_index.json, backend/pipeline.py</t>
        </is>
      </c>
      <c r="I15" s="33" t="inlineStr">
        <is>
          <t>그래프 노드 __start__ → retrieve → generate → __end__.</t>
        </is>
      </c>
    </row>
    <row r="16" ht="34.5" customHeight="1" s="28">
      <c r="B16" s="49" t="n"/>
      <c r="C16" s="46" t="n">
        <v>8</v>
      </c>
      <c r="D16" s="46" t="inlineStr">
        <is>
          <t>F2008</t>
        </is>
      </c>
      <c r="E16" s="36" t="inlineStr">
        <is>
          <t>답변 본문의 근거 번호와 화면의 근거 목록이 일치하고, 항목 메타데이터와 외부 문서가 구분되어 표시된다</t>
        </is>
      </c>
      <c r="F16" s="36" t="inlineStr">
        <is>
          <t>답변을 생성해 번호와 목록을 대조</t>
        </is>
      </c>
      <c r="G16" s="47" t="inlineStr">
        <is>
          <t>통과</t>
        </is>
      </c>
      <c r="H16" s="33" t="inlineStr">
        <is>
          <t>api_run.json, screenshots/08_answer_with_numbers.jpg, screenshots/08_citation_list_and_keywords.jpg</t>
        </is>
      </c>
      <c r="I16" s="33" t="inlineStr">
        <is>
          <t>답변 본문 번호 [1][3][4][5][6] = 화면 근거 목록 [1][3][4][5][6]. 출처 종류가 '항목 메타데이터'와 '빗썸 공지 원문 (업비트 상태 아님)'으로 나뉘어 표시된다.</t>
        </is>
      </c>
    </row>
    <row r="17" ht="48" customHeight="1" s="28">
      <c r="B17" s="48" t="n"/>
      <c r="C17" s="46" t="n">
        <v>9</v>
      </c>
      <c r="D17" s="46" t="inlineStr">
        <is>
          <t>F2007 · F2008</t>
        </is>
      </c>
      <c r="E17" s="36" t="inlineStr">
        <is>
          <t>문서에 없는 것을 물으면 추측하지 않고 확인되지 않는다고 답하며, 인용된 근거가 없으면 그 사실이 화면에 안내된다</t>
        </is>
      </c>
      <c r="F17" s="36" t="inlineStr">
        <is>
          <t>색인에 없는 내용을 질문해 답변과 안내 확인</t>
        </is>
      </c>
      <c r="G17" s="47" t="inlineStr">
        <is>
          <t>통과</t>
        </is>
      </c>
      <c r="H17" s="33" t="inlineStr">
        <is>
          <t>api_run.json, screenshots/09_14_no_citation_and_disclaimer.jpg</t>
        </is>
      </c>
      <c r="I17" s="33" t="inlineStr">
        <is>
          <t>'사토시 나카모토의 실제 거주지 주소'는 '제공된 근거에 없습니다'로 답했다. 다만 이 답에도 메타데이터·시세 스냅샷을 [1][2]로 붙였다(근거 없음을 말하면서 인용한 것). 인용이 없는 답(투자 판단 질문)에서는 화면에 '생성 답변의 인용 문서 없음'이 표시된다.</t>
        </is>
      </c>
    </row>
    <row r="18" ht="24" customHeight="1" s="28">
      <c r="B18" s="45" t="inlineStr">
        <is>
          <t>서비스 기능과 화면</t>
        </is>
      </c>
      <c r="C18" s="46" t="n">
        <v>10</v>
      </c>
      <c r="D18" s="46" t="inlineStr">
        <is>
          <t>F2009</t>
        </is>
      </c>
      <c r="E18" s="36" t="inlineStr">
        <is>
          <t>항목을 바꿨을 때 이전 대화가 섞이지 않는다</t>
        </is>
      </c>
      <c r="F18" s="36" t="inlineStr">
        <is>
          <t>항목 A에서 대화 후 항목 B로 바꿔 질문</t>
        </is>
      </c>
      <c r="G18" s="47" t="inlineStr">
        <is>
          <t>통과</t>
        </is>
      </c>
      <c r="H18" s="33" t="inlineStr">
        <is>
          <t>screenshots/10_history_per_coin_sol.jpg, screenshots/12_live_kimp_answer.jpg</t>
        </is>
      </c>
      <c r="I18" s="33" t="inlineStr">
        <is>
          <t>SOL에서 질문 → BTC로 바꿔 질문 → SOL로 돌아오면 SOL 대화 2건만 남아 있고 BTC 대화가 섞이지 않는다. 코인 전환은 화면의 selectCoin을 직접 호출했다(시세표가 5초마다 다시 그려져 행 클릭 참조가 계속 바뀜).</t>
        </is>
      </c>
    </row>
    <row r="19" ht="34.5" customHeight="1" s="28">
      <c r="B19" s="49" t="n"/>
      <c r="C19" s="46" t="n">
        <v>11</v>
      </c>
      <c r="D19" s="46" t="inlineStr">
        <is>
          <t>F2011</t>
        </is>
      </c>
      <c r="E19" s="36" t="inlineStr">
        <is>
          <t>조건 기반 탐색 결과에 조건과 맞지 않는 항목이 섞이지 않는다</t>
        </is>
      </c>
      <c r="F19" s="36" t="inlineStr">
        <is>
          <t>조건을 입력해 결과 항목을 하나씩 대조</t>
        </is>
      </c>
      <c r="G19" s="47" t="inlineStr">
        <is>
          <t>통과</t>
        </is>
      </c>
      <c r="H19" s="33" t="inlineStr">
        <is>
          <t>api_run.json, api_rerun_after_fix.json, screenshots/11_condition_search.jpg, screenshots/11_condition_result_to_chat.jpg</t>
        </is>
      </c>
      <c r="I19" s="33" t="inlineStr">
        <is>
          <t>'유의종목인 코인' → 6건, 6건 모두 warning=true. 결과를 누르면 해당 코인 채팅으로 이동. 처음 실행에서 '유의종목이 아닌 비트코인'이 0건이었다(모델이 symbol에 '비트코인'을 넣음). 이름을 티커로 바꾸도록 고친 뒤 재실행: 조건 {symbol: BTC, warning: false} → 1건.</t>
        </is>
      </c>
    </row>
    <row r="20" ht="24" customHeight="1" s="28">
      <c r="B20" s="49" t="n"/>
      <c r="C20" s="46" t="n">
        <v>12</v>
      </c>
      <c r="D20" s="46" t="inlineStr">
        <is>
          <t>F2010</t>
        </is>
      </c>
      <c r="E20" s="36" t="inlineStr">
        <is>
          <t>도메인 특화 기능의 결과에도 근거가 함께 제시된다</t>
        </is>
      </c>
      <c r="F20" s="36" t="inlineStr">
        <is>
          <t>특화 기능을 실행해 근거 표시 확인</t>
        </is>
      </c>
      <c r="G20" s="47" t="inlineStr">
        <is>
          <t>통과</t>
        </is>
      </c>
      <c r="H20" s="33" t="inlineStr">
        <is>
          <t>api_run.json, api_rerun_after_fix.json, screenshots/12_live_kimp_answer.jpg</t>
        </is>
      </c>
      <c r="I20" s="33" t="inlineStr">
        <is>
          <t>특화 기능(김프 실시간 근거): '지금 비트코인 김프 몇 %야?' → 기준 시각과 +0.86~0.87%를 '실시간 시세 스냅샷' 근거로 인용. 처음 실행에서 '솔라나 김프가 다르게 움직인 이유'에 전제(SOL만 다르다)를 받아들이고 입출금 중지를 원인으로 단정했다. 프롬프트에 전제 확인 규칙을 넣은 뒤 재실행에서는 전제가 근거와 맞지 않는다고 답했다. 입출금 상태 근거는 15분 수집이 아직 돌지 않아 비어 있다(상태 질문은 근거 없음으로 거절).</t>
        </is>
      </c>
    </row>
    <row r="21" ht="34.5" customHeight="1" s="28">
      <c r="B21" s="49" t="n"/>
      <c r="C21" s="46" t="n">
        <v>13</v>
      </c>
      <c r="D21" s="46" t="inlineStr">
        <is>
          <t>F2012</t>
        </is>
      </c>
      <c r="E21" s="36" t="inlineStr">
        <is>
          <t>처리 중 진행 상태가 표시되고, 색인이 없을 때와 API 키가 없을 때 각각 안내가 표시된다</t>
        </is>
      </c>
      <c r="F21" s="36" t="inlineStr">
        <is>
          <t>첫 질문 실행 중 화면 확인, 색인 삭제 후 실행, 키를 비우고 실행</t>
        </is>
      </c>
      <c r="G21" s="47" t="inlineStr">
        <is>
          <t>통과</t>
        </is>
      </c>
      <c r="H21" s="33" t="inlineStr">
        <is>
          <t>screenshots/13_progress.jpg, local_index.json</t>
        </is>
      </c>
      <c r="I21" s="33" t="inlineStr">
        <is>
          <t>질문 처리 중 '문서 준비 · 의미 검색 · 답변 처리 중…' 표시. 색인 없음 → 409 '검색 색인이 없습니다. 데이터 색인을 먼저 실행하세요.', 키 없음 → 'missing_key' 안내와 검색 결과 표시(로컬 실행). 운영에서 색인 삭제·키 제거는 하지 않았다.</t>
        </is>
      </c>
    </row>
    <row r="22" ht="48" customHeight="1" s="28">
      <c r="B22" s="48" t="n"/>
      <c r="C22" s="46" t="n">
        <v>14</v>
      </c>
      <c r="D22" s="46" t="inlineStr">
        <is>
          <t>F2012</t>
        </is>
      </c>
      <c r="E22" s="50" t="inlineStr">
        <is>
          <t>(해당 도메인만) 건강 · 금융처럼 판단이 위험한 도메인이면 전문가 조언을 대신하지 않는다는 안내가 표시된다</t>
        </is>
      </c>
      <c r="F22" s="36" t="inlineStr">
        <is>
          <t>답변 화면에서 면책 안내 확인</t>
        </is>
      </c>
      <c r="G22" s="47" t="inlineStr">
        <is>
          <t>통과</t>
        </is>
      </c>
      <c r="H22" s="33" t="inlineStr">
        <is>
          <t>screenshots/09_14_no_citation_and_disclaimer.jpg, api_run.json</t>
        </is>
      </c>
      <c r="I22" s="33" t="inlineStr">
        <is>
          <t>채팅 하단 상시 안내 '문서 수집 시점과 현재 상태는 다를 수 있습니다. 투자 조언을 대체하지 않습니다.' 투자 판단·예측 질문은 근거가 있어도 보류한다.</t>
        </is>
      </c>
    </row>
    <row r="23" ht="34.5" customHeight="1" s="28">
      <c r="B23" s="45" t="inlineStr">
        <is>
          <t>심화 기능 (선택한 것만)</t>
        </is>
      </c>
      <c r="C23" s="46" t="n">
        <v>15</v>
      </c>
      <c r="D23" s="46" t="inlineStr">
        <is>
          <t>F2013</t>
        </is>
      </c>
      <c r="E23" s="36" t="inlineStr">
        <is>
          <t>화면이 HTML · CSS · JavaScript로 동작하고 질문 · 답변 · 근거가 모두 표시된다</t>
        </is>
      </c>
      <c r="F23" s="36" t="inlineStr">
        <is>
          <t>화면 실행 후 질문 · 답변 · 근거 표시 확인</t>
        </is>
      </c>
      <c r="G23" s="47" t="inlineStr">
        <is>
          <t>통과</t>
        </is>
      </c>
      <c r="H23" s="33" t="inlineStr">
        <is>
          <t>screenshots/01_main_market.jpg, screenshots/08_answer_with_numbers.jpg, screenshots/19_citation_source_type.jpg</t>
        </is>
      </c>
      <c r="I23" s="33" t="inlineStr">
        <is>
          <t>dist/의 HTML·CSS·JS 화면이 FastAPI API와 분리돼 동작. 질문·답변·근거 목록·근거 원문 보기까지 확인.</t>
        </is>
      </c>
    </row>
    <row r="24" ht="34.5" customHeight="1" s="28">
      <c r="B24" s="49" t="n"/>
      <c r="C24" s="46" t="n">
        <v>16</v>
      </c>
      <c r="D24" s="46" t="inlineStr">
        <is>
          <t>F2014</t>
        </is>
      </c>
      <c r="E24" s="36" t="inlineStr">
        <is>
          <t>같은 질문에 유사도 검색과 MMR 검색을 각각 적용했을 때 근거 목록이 어떻게 달라지는지 확인된다</t>
        </is>
      </c>
      <c r="F24" s="36" t="inlineStr">
        <is>
          <t>두 검색 방식의 근거 목록을 나란히 비교</t>
        </is>
      </c>
      <c r="G24" s="47" t="inlineStr">
        <is>
          <t>통과</t>
        </is>
      </c>
      <c r="H24" s="33" t="inlineStr">
        <is>
          <t>api_run.json</t>
        </is>
      </c>
      <c r="I24" s="33" t="inlineStr">
        <is>
          <t>같은 SOL 질문(Top-k 5): 유사도는 공지 청크 2·0·3·1, MMR은 2·0·4·3. MMR이 유사도 4위 청크(1) 대신 앞 청크와 덜 겹치는 청크(4)를 골랐다. 근거 문서가 공지 1건뿐이라 차이가 작다.</t>
        </is>
      </c>
    </row>
    <row r="25" ht="61.5" customHeight="1" s="28">
      <c r="B25" s="49" t="n"/>
      <c r="C25" s="46" t="n">
        <v>17</v>
      </c>
      <c r="D25" s="46" t="inlineStr">
        <is>
          <t>F2015</t>
        </is>
      </c>
      <c r="E25" s="36" t="inlineStr">
        <is>
          <t>대표 질문 5개 이상(근거 없이 답하면 틀리기 쉬운 질문)을 RAG 없이 / 근거를 붙여 각각 답하게 해, 사실 정확성 · 근거 제시 여부 · 모르는 것을 모른다고 답하는지를 비교해 기록했다</t>
        </is>
      </c>
      <c r="F25" s="36" t="inlineStr">
        <is>
          <t>비교 기록 확인</t>
        </is>
      </c>
      <c r="G25" s="47" t="inlineStr">
        <is>
          <t>통과</t>
        </is>
      </c>
      <c r="H25" s="33" t="inlineStr">
        <is>
          <t>docs/RAG_COMPARISON.md, docs/evaluation.json</t>
        </is>
      </c>
      <c r="I25" s="33" t="inlineStr">
        <is>
          <t>질문 5개를 RAG 없이/RAG로 실행(2026-10-22, 실제 모델). RAG 없이 틀림 1(업비트 trade_time을 KST로 답함)·맥락 이탈 1, RAG는 수정 전 문서 속 예시 가격을 현재가로 답한 1건. 질문 세트가 김프 도메인 확정 전이고 판정은 작성 측 수동 대조다.</t>
        </is>
      </c>
    </row>
    <row r="26" ht="24" customHeight="1" s="28">
      <c r="B26" s="49" t="n"/>
      <c r="C26" s="46" t="n">
        <v>18</v>
      </c>
      <c r="D26" s="46" t="inlineStr">
        <is>
          <t>F2015</t>
        </is>
      </c>
      <c r="E26" s="36" t="inlineStr">
        <is>
          <t>비교 결과를 문서로 작성해 제출물에 포함했다</t>
        </is>
      </c>
      <c r="F26" s="36" t="inlineStr">
        <is>
          <t>제출물 폴더 확인</t>
        </is>
      </c>
      <c r="G26" s="47" t="inlineStr">
        <is>
          <t>통과</t>
        </is>
      </c>
      <c r="H26" s="33" t="inlineStr">
        <is>
          <t>docs/RAG_COMPARISON.md</t>
        </is>
      </c>
      <c r="I26" s="33" t="inlineStr"/>
    </row>
    <row r="27" ht="24" customHeight="1" s="28">
      <c r="B27" s="48" t="n"/>
      <c r="C27" s="46" t="n">
        <v>19</v>
      </c>
      <c r="D27" s="46" t="inlineStr">
        <is>
          <t>F2016</t>
        </is>
      </c>
      <c r="E27" s="36" t="inlineStr">
        <is>
          <t>근거 목록에 출처의 종류가 구분되어 표시된다</t>
        </is>
      </c>
      <c r="F27" s="36" t="inlineStr">
        <is>
          <t>근거 목록 화면 확인</t>
        </is>
      </c>
      <c r="G27" s="47" t="inlineStr">
        <is>
          <t>통과</t>
        </is>
      </c>
      <c r="H27" s="33" t="inlineStr">
        <is>
          <t>screenshots/19_citation_source_type.jpg, screenshots/12_live_kimp_answer.jpg, api_run.json</t>
        </is>
      </c>
      <c r="I27" s="33" t="inlineStr">
        <is>
          <t>출처 종류 4가지가 구분 표시된다: 항목 메타데이터, 빗썸 공지 원문(업비트 상태 아님), 실시간 시세 스냅샷, 거래소 API 문서·프로젝트 공식 가이드. 근거 원문 보기에서 거래소·게시·개정 시각도 보인다.</t>
        </is>
      </c>
    </row>
    <row r="28" ht="24" customHeight="1" s="28">
      <c r="B28" s="45" t="inlineStr">
        <is>
          <t>비기능 요구사항</t>
        </is>
      </c>
      <c r="C28" s="46" t="n">
        <v>20</v>
      </c>
      <c r="D28" s="46" t="inlineStr">
        <is>
          <t>NF2001</t>
        </is>
      </c>
      <c r="E28" s="36" t="inlineStr">
        <is>
          <t>대표 질문의 전체 처리 시간이 사용에 지장이 없다</t>
        </is>
      </c>
      <c r="F28" s="36" t="inlineStr">
        <is>
          <t>첫 질문과 두 번째 질문의 처리 시간을 나눠 측정</t>
        </is>
      </c>
      <c r="G28" s="47" t="inlineStr">
        <is>
          <t>통과</t>
        </is>
      </c>
      <c r="H28" s="33" t="inlineStr">
        <is>
          <t>api_run.json, screenshots/12_live_kimp_answer.jpg</t>
        </is>
      </c>
      <c r="I28" s="33" t="inlineStr">
        <is>
          <t>팀 기준을 '30초 이내 + 처리 중 표시'로 정했다. 첫 질문 23.3초, 같은 질문 재실행 13.8초, 다른 첫 질문 14~26초. 대부분이 생성 모델 호출 시간이다. 투자 판단 질문도 수집을 먼저 해 14초가 걸린다(보류 판정을 앞당기면 줄일 수 있음). 무료 서버가 잠든 뒤 첫 접속은 별도로 30초~1분 더 걸린다.</t>
        </is>
      </c>
    </row>
    <row r="29" ht="48" customHeight="1" s="28">
      <c r="B29" s="49" t="n"/>
      <c r="C29" s="46" t="n">
        <v>21</v>
      </c>
      <c r="D29" s="46" t="inlineStr">
        <is>
          <t>NF2003 · NF2004</t>
        </is>
      </c>
      <c r="E29" s="36" t="inlineStr">
        <is>
          <t>소스코드와 제출물에 API 키가 남아 있지 않고, 화면에 API 키 · 프롬프트 전문 · 오류 추적 정보가 노출되지 않는다</t>
        </is>
      </c>
      <c r="F29" s="36" t="inlineStr">
        <is>
          <t>저장소 전체에서 키 문자열 검색(.env 제외 여부 확인), 오류 상황을 일부러 만들어 화면 확인</t>
        </is>
      </c>
      <c r="G29" s="47" t="inlineStr">
        <is>
          <t>통과</t>
        </is>
      </c>
      <c r="H29" s="33" t="inlineStr">
        <is>
          <t>api_run.json, .gitignore</t>
        </is>
      </c>
      <c r="I29" s="33" t="inlineStr">
        <is>
          <t>저장소 전체 커밋 이력에서 키 형식 문자열(sk-, npg_, 비밀번호 포함 DB URL) 0건, .env는 .gitignore. 오류 상황(없는 코인 404, Top-k 99 422, 잘못된 기간 400, 잘못된 공지 ID 404)은 짧은 안내만 돌려주고 스택 추적·프롬프트·키가 없다. 422는 입력값 검증 내용(필드·한도)을 보여 준다. 화면 오류는 API 응답으로 확인했다.</t>
        </is>
      </c>
    </row>
    <row r="30" ht="34.5" customHeight="1" s="28">
      <c r="B30" s="49" t="n"/>
      <c r="C30" s="46" t="n">
        <v>22</v>
      </c>
      <c r="D30" s="46" t="inlineStr">
        <is>
          <t>NF2005</t>
        </is>
      </c>
      <c r="E30" s="36" t="inlineStr">
        <is>
          <t>수집 · 색인 · 검색 · 생성 · UI가 모듈로 분리되어 있다</t>
        </is>
      </c>
      <c r="F30" s="36" t="inlineStr">
        <is>
          <t>파일 구성 확인</t>
        </is>
      </c>
      <c r="G30" s="47" t="inlineStr">
        <is>
          <t>통과</t>
        </is>
      </c>
      <c r="H30" s="33" t="inlineStr">
        <is>
          <t>README.md</t>
        </is>
      </c>
      <c r="I30" s="33" t="inlineStr">
        <is>
          <t>수집 collection.py·bithumb_notices.py·official_docs.py / 색인·검색 store.py / 생성 pipeline.py·prompts.py / 실시간 근거 live.py·market.py·fx.py / API main.py / UI dist/. 도메인 종속 부분은 catalog.py와 수집 모듈.</t>
        </is>
      </c>
    </row>
    <row r="31" ht="34.5" customHeight="1" s="28">
      <c r="B31" s="49" t="n"/>
      <c r="C31" s="46" t="n">
        <v>23</v>
      </c>
      <c r="D31" s="46" t="inlineStr">
        <is>
          <t>NF2006</t>
        </is>
      </c>
      <c r="E31" s="36" t="inlineStr">
        <is>
          <t>외부 호출의 재시도 · 호출 간격과 출처가 요구하는 식별 정보(예: 위키백과 User-Agent 연락처)를 지켰다</t>
        </is>
      </c>
      <c r="F31" s="36" t="inlineStr">
        <is>
          <t>호출 코드의 재시도 · 간격 · 헤더 확인</t>
        </is>
      </c>
      <c r="G31" s="47" t="inlineStr">
        <is>
          <t>통과</t>
        </is>
      </c>
      <c r="H31" s="33" t="inlineStr">
        <is>
          <t>docs/SOURCES.md, backend/market.py, backend/official_docs.py</t>
        </is>
      </c>
      <c r="I31" s="33" t="inlineStr">
        <is>
          <t>시세 429·502·503 재시도 2회(Retry-After 존중)·5초 캐시, 공식 문서 3회 백오프·요청 간 1초, 빗썸 요청 간 1.1초. 빗썸·공식 문서 요청에 프로젝트 식별 User-Agent. 위키백과는 쓰지 않는다. 빗썸 공지 본문 페이지가 서버 요청을 403으로 막아 관리자 브라우저로 받은 원문을 넘기는 경로를 썼다(우회용 User-Agent 위장은 하지 않음).</t>
        </is>
      </c>
    </row>
    <row r="32" ht="24" customHeight="1" s="28">
      <c r="B32" s="48" t="n"/>
      <c r="C32" s="46" t="n">
        <v>24</v>
      </c>
      <c r="D32" s="46" t="inlineStr">
        <is>
          <t>NF2007</t>
        </is>
      </c>
      <c r="E32" s="36" t="inlineStr">
        <is>
          <t>사용한 데이터와 문서의 출처 · 이용 조건을 기록했다</t>
        </is>
      </c>
      <c r="F32" s="50" t="inlineStr">
        <is>
          <t>README 확인</t>
        </is>
      </c>
      <c r="G32" s="47" t="inlineStr">
        <is>
          <t>통과</t>
        </is>
      </c>
      <c r="H32" s="33" t="inlineStr">
        <is>
          <t>docs/SOURCES.md, README.md</t>
        </is>
      </c>
      <c r="I32" s="33" t="inlineStr">
        <is>
          <t>출처별 주소·키·호출 정책·이용 조건을 기록했다. 바이낸스·OKX 등 해외 시세 표시 조건, Frankfurter 약관, 빗썸 공지 본문 수집 허용 범위는 '미확인'으로 적었다.</t>
        </is>
      </c>
    </row>
    <row r="33" ht="34.5" customHeight="1" s="28">
      <c r="B33" s="45" t="inlineStr">
        <is>
          <t>제출 전 점검</t>
        </is>
      </c>
      <c r="C33" s="46" t="n">
        <v>25</v>
      </c>
      <c r="D33" s="51" t="inlineStr">
        <is>
          <t>필수</t>
        </is>
      </c>
      <c r="E33" s="36" t="inlineStr">
        <is>
          <t>필수 기능 F2001 ~ F2012가 모두 동작하고, 선택한 심화 기능은 필수 기능의 결과와 비교되어 있다</t>
        </is>
      </c>
      <c r="F33" s="36" t="inlineStr">
        <is>
          <t>위 항목의 결과 종합, 비교 기록 확인</t>
        </is>
      </c>
      <c r="G33" s="47" t="inlineStr">
        <is>
          <t>통과</t>
        </is>
      </c>
      <c r="H33" s="33" t="inlineStr">
        <is>
          <t>RESULTS.md</t>
        </is>
      </c>
      <c r="I33" s="33" t="inlineStr">
        <is>
          <t>필수 1~14번 통과. 선택 심화(F2013 화면, F2014 MMR, F2015 RAG 전후, F2016 출처 종류)는 기본 결과와 비교해 기록했다. 점검 중 실패 2건(조건 탐색 0건, 김프 원인 단정)은 고친 뒤 재실행 결과로 적었다.</t>
        </is>
      </c>
    </row>
    <row r="34" ht="24" customHeight="1" s="28">
      <c r="B34" s="49" t="n"/>
      <c r="C34" s="46" t="n">
        <v>26</v>
      </c>
      <c r="D34" s="51" t="inlineStr">
        <is>
          <t>필수</t>
        </is>
      </c>
      <c r="E34" s="36" t="inlineStr">
        <is>
          <t>증명을 위한 스크린샷 항목을 모두 첨부했다</t>
        </is>
      </c>
      <c r="F34" s="36" t="inlineStr">
        <is>
          <t>증빙 칸과 첨부 파일 대조</t>
        </is>
      </c>
      <c r="G34" s="47" t="inlineStr">
        <is>
          <t>통과</t>
        </is>
      </c>
      <c r="H34" s="33" t="inlineStr">
        <is>
          <t>screenshots/</t>
        </is>
      </c>
      <c r="I34" s="33" t="inlineStr">
        <is>
          <t>증빙 칸의 캡처 10장을 screenshots/에 넣었다. 캡처에 키·오류 상세는 없다. 나머지 증빙은 실행 결과 JSON(api_run.json, local_index.json)이다.</t>
        </is>
      </c>
    </row>
    <row r="35" ht="48" customHeight="1" s="28">
      <c r="B35" s="48" t="n"/>
      <c r="C35" s="46" t="n">
        <v>27</v>
      </c>
      <c r="D35" s="51" t="inlineStr">
        <is>
          <t>필수</t>
        </is>
      </c>
      <c r="E35" s="36" t="inlineStr">
        <is>
          <t>요구사항 정의서 · RAG 파이프라인 설계문서 · 소스코드 · README.md · 검증 결과(요구사항 대조표, 테스트 결과표, 셀프 · 상호 체크리스트)를 모두 포함했다</t>
        </is>
      </c>
      <c r="F35" s="36" t="inlineStr">
        <is>
          <t>제출물 폴더 확인</t>
        </is>
      </c>
      <c r="G35" s="47" t="inlineStr">
        <is>
          <t>실패</t>
        </is>
      </c>
      <c r="H35" s="33" t="inlineStr">
        <is>
          <t>README.md, docs/TEST_RESULTS.md, RESULTS.md</t>
        </is>
      </c>
      <c r="I35" s="33" t="inlineStr">
        <is>
          <t>포함: 소스코드, README, 테스트 결과표(docs/TEST_RESULTS.md), 셀프 체크리스트·요구사항별 대조(이 문서), RAG 전후 비교. 빠짐: 요구사항 정의서, RAG 파이프라인 설계문서(별도 문서). 설계 내용은 README 3절에만 있다. 조치: 두 문서 작성 후 재점검. 상호 체크리스트는 상호 점검 시간에 작성.</t>
        </is>
      </c>
    </row>
    <row r="37" ht="19.5" customHeight="1" s="28">
      <c r="B37" s="32" t="inlineStr">
        <is>
          <t>집계</t>
        </is>
      </c>
      <c r="C37" s="52" t="inlineStr">
        <is>
          <t>통과</t>
        </is>
      </c>
      <c r="D37" s="34" t="n"/>
      <c r="E37" s="35" t="n"/>
      <c r="F37" s="53">
        <f>COUNTIF($G$9:$G$35,"통과")</f>
        <v/>
      </c>
      <c r="G37" s="36" t="inlineStr">
        <is>
          <t>제출 전에 「실패」 · 「미확인」 · 「미기입」이 남아 있으면 비고에 사유가 적혀 있는지 확인합니다.</t>
        </is>
      </c>
      <c r="H37" s="37" t="n"/>
      <c r="I37" s="38" t="n"/>
    </row>
    <row r="38" ht="19.5" customHeight="1" s="28">
      <c r="B38" s="49" t="n"/>
      <c r="C38" s="52" t="inlineStr">
        <is>
          <t>실패</t>
        </is>
      </c>
      <c r="D38" s="34" t="n"/>
      <c r="E38" s="35" t="n"/>
      <c r="F38" s="53">
        <f>COUNTIF($G$9:$G$35,"실패")</f>
        <v/>
      </c>
      <c r="G38" s="39" t="n"/>
      <c r="I38" s="40" t="n"/>
    </row>
    <row r="39" ht="19.5" customHeight="1" s="28">
      <c r="B39" s="49" t="n"/>
      <c r="C39" s="52" t="inlineStr">
        <is>
          <t>미확인</t>
        </is>
      </c>
      <c r="D39" s="34" t="n"/>
      <c r="E39" s="35" t="n"/>
      <c r="F39" s="53">
        <f>COUNTIF($G$9:$G$35,"미확인")</f>
        <v/>
      </c>
      <c r="G39" s="39" t="n"/>
      <c r="I39" s="40" t="n"/>
    </row>
    <row r="40" ht="19.5" customHeight="1" s="28">
      <c r="B40" s="49" t="n"/>
      <c r="C40" s="52" t="inlineStr">
        <is>
          <t>해당없음</t>
        </is>
      </c>
      <c r="D40" s="34" t="n"/>
      <c r="E40" s="35" t="n"/>
      <c r="F40" s="53">
        <f>COUNTIF($G$9:$G$35,"해당없음")</f>
        <v/>
      </c>
      <c r="G40" s="39" t="n"/>
      <c r="I40" s="40" t="n"/>
    </row>
    <row r="41" ht="19.5" customHeight="1" s="28">
      <c r="B41" s="49" t="n"/>
      <c r="C41" s="52" t="inlineStr">
        <is>
          <t>미기입</t>
        </is>
      </c>
      <c r="D41" s="34" t="n"/>
      <c r="E41" s="35" t="n"/>
      <c r="F41" s="53">
        <f>COUNTA($E$9:$E$35)-COUNTA($G$9:$G$35)</f>
        <v/>
      </c>
      <c r="G41" s="39" t="n"/>
      <c r="I41" s="40" t="n"/>
    </row>
    <row r="42" ht="19.5" customHeight="1" s="28">
      <c r="B42" s="48" t="n"/>
      <c r="C42" s="52" t="inlineStr">
        <is>
          <t>전체 항목</t>
        </is>
      </c>
      <c r="D42" s="34" t="n"/>
      <c r="E42" s="35" t="n"/>
      <c r="F42" s="53">
        <f>COUNTA($E$9:$E$35)</f>
        <v/>
      </c>
      <c r="G42" s="41" t="n"/>
      <c r="H42" s="42" t="n"/>
      <c r="I42" s="43" t="n"/>
    </row>
    <row r="43" ht="7.5" customHeight="1" s="28"/>
    <row r="44" ht="21.75" customHeight="1" s="28">
      <c r="B44" s="54" t="inlineStr">
        <is>
          <t>상호 점검 피드백 — 상호 점검 때만 작성 (짧게 한두 문장)</t>
        </is>
      </c>
      <c r="C44" s="34" t="n"/>
      <c r="D44" s="34" t="n"/>
      <c r="E44" s="34" t="n"/>
      <c r="F44" s="34" t="n"/>
      <c r="G44" s="34" t="n"/>
      <c r="H44" s="34" t="n"/>
      <c r="I44" s="35" t="n"/>
    </row>
    <row r="45" ht="42" customHeight="1" s="28">
      <c r="B45" s="52" t="inlineStr">
        <is>
          <t>잘한 것 하나</t>
        </is>
      </c>
      <c r="C45" s="55" t="n"/>
      <c r="D45" s="34" t="n"/>
      <c r="E45" s="34" t="n"/>
      <c r="F45" s="34" t="n"/>
      <c r="G45" s="34" t="n"/>
      <c r="H45" s="34" t="n"/>
      <c r="I45" s="35" t="n"/>
    </row>
    <row r="46" ht="42" customHeight="1" s="28">
      <c r="B46" s="52" t="inlineStr">
        <is>
          <t>개선할 것 하나</t>
        </is>
      </c>
      <c r="C46" s="55" t="n"/>
      <c r="D46" s="34" t="n"/>
      <c r="E46" s="34" t="n"/>
      <c r="F46" s="34" t="n"/>
      <c r="G46" s="34" t="n"/>
      <c r="H46" s="34" t="n"/>
      <c r="I46" s="35" t="n"/>
    </row>
  </sheetData>
  <mergeCells count="25">
    <mergeCell ref="C41:E41"/>
    <mergeCell ref="B7:I7"/>
    <mergeCell ref="C40:E40"/>
    <mergeCell ref="B28:B32"/>
    <mergeCell ref="B33:B35"/>
    <mergeCell ref="B14:B17"/>
    <mergeCell ref="F3:I6"/>
    <mergeCell ref="B2:I2"/>
    <mergeCell ref="C39:E39"/>
    <mergeCell ref="C38:E38"/>
    <mergeCell ref="B37:B42"/>
    <mergeCell ref="C45:I45"/>
    <mergeCell ref="B9:B10"/>
    <mergeCell ref="B44:I44"/>
    <mergeCell ref="C37:E37"/>
    <mergeCell ref="C3:E3"/>
    <mergeCell ref="B11:B13"/>
    <mergeCell ref="C6:E6"/>
    <mergeCell ref="C42:E42"/>
    <mergeCell ref="B18:B22"/>
    <mergeCell ref="C5:E5"/>
    <mergeCell ref="G37:I42"/>
    <mergeCell ref="C4:E4"/>
    <mergeCell ref="C46:I46"/>
    <mergeCell ref="B23:B27"/>
  </mergeCells>
  <conditionalFormatting sqref="G9:G35">
    <cfRule type="cellIs" rank="0" priority="2" equalAverage="0" operator="equal" aboveAverage="0" dxfId="0" text="" percent="0" bottom="0">
      <formula>"통과"</formula>
    </cfRule>
    <cfRule type="cellIs" rank="0" priority="3" equalAverage="0" operator="equal" aboveAverage="0" dxfId="1" text="" percent="0" bottom="0">
      <formula>"실패"</formula>
    </cfRule>
    <cfRule type="cellIs" rank="0" priority="4" equalAverage="0" operator="equal" aboveAverage="0" dxfId="2" text="" percent="0" bottom="0">
      <formula>"미확인"</formula>
    </cfRule>
    <cfRule type="cellIs" rank="0" priority="5" equalAverage="0" operator="equal" aboveAverage="0" dxfId="3" text="" percent="0" bottom="0">
      <formula>"해당없음"</formula>
    </cfRule>
  </conditionalFormatting>
  <dataValidations count="2">
    <dataValidation sqref="C3" showDropDown="0" showInputMessage="0" showErrorMessage="0" allowBlank="1" type="list" errorStyle="stop" operator="between">
      <formula1>"셀프,상호"</formula1>
      <formula2>0</formula2>
    </dataValidation>
    <dataValidation sqref="G9:G35" showDropDown="0" showInputMessage="0" showErrorMessage="1" allowBlank="1" errorTitle="결과 선택" error="통과 / 실패 / 미확인 / 해당없음 중에서 선택하세요." type="list" errorStyle="stop" operator="between">
      <formula1>"통과,실패,미확인,해당없음"</formula1>
      <formula2>0</formula2>
    </dataValidation>
  </dataValidation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0" fitToWidth="1" pageOrder="downThenOver" blackAndWhite="0" draft="0" horizontalDpi="300" verticalDpi="300" copies="1"/>
  <headerFooter differentOddEven="0" differentFirst="0">
    <oddHeader/>
    <oddFooter>&amp;C&amp;8 &amp;P / &amp;N 쪽 · 확인하지 않은 것을 통과로 적지 않습니다.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B2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125" defaultRowHeight="15" zeroHeight="0" outlineLevelRow="0"/>
  <cols>
    <col width="3" customWidth="1" style="27" min="1" max="1"/>
    <col width="16" customWidth="1" style="27" min="2" max="2"/>
    <col width="6" customWidth="1" style="27" min="3" max="3"/>
    <col width="14" customWidth="1" style="27" min="4" max="4"/>
    <col width="46" customWidth="1" style="27" min="5" max="5"/>
    <col width="12" customWidth="1" style="27" min="6" max="6"/>
    <col width="26" customWidth="1" style="27" min="7" max="7"/>
    <col width="40" customWidth="1" style="27" min="8" max="8"/>
  </cols>
  <sheetData>
    <row r="2" ht="30" customHeight="1" s="28">
      <c r="B2" s="56" t="inlineStr">
        <is>
          <t>셀프 · 상호 체크리스트 작성 안내</t>
        </is>
      </c>
    </row>
    <row r="4" ht="45.75" customHeight="1" s="28">
      <c r="B4" s="57" t="inlineStr">
        <is>
          <t>언제</t>
        </is>
      </c>
      <c r="C4" s="58" t="inlineStr">
        <is>
          <t>셀프 — 3일차 15:30 ~ 16:30 · 내 앱을 직접 실행하며 항목을 하나씩 확인합니다.
상호 — 3일차 16:30 ~ 17:30 · 셀프 때와 같은 양식으로 옆 교육생의 앱을 점검하고, 점검자 칸에 이름을 적어 주고받습니다.</t>
        </is>
      </c>
      <c r="D4" s="34" t="n"/>
      <c r="E4" s="34" t="n"/>
      <c r="F4" s="34" t="n"/>
      <c r="G4" s="34" t="n"/>
      <c r="H4" s="35" t="n"/>
    </row>
    <row r="5" ht="45.75" customHeight="1" s="28">
      <c r="B5" s="57" t="inlineStr">
        <is>
          <t>무엇을 적나</t>
        </is>
      </c>
      <c r="C5" s="58" t="inlineStr">
        <is>
          <t>점검 유형(셀프 · 상호) · 앱 작성자 · 점검자 · 점검 일시, 그리고 항목마다 결과 · 증빙 · 비고를 적습니다.
연한 노란 칸만 입력합니다. 확인 항목과 확인 방법은 고치지 않습니다.</t>
        </is>
      </c>
      <c r="D5" s="34" t="n"/>
      <c r="E5" s="34" t="n"/>
      <c r="F5" s="34" t="n"/>
      <c r="G5" s="34" t="n"/>
      <c r="H5" s="35" t="n"/>
    </row>
    <row r="6" ht="81.75" customHeight="1" s="28">
      <c r="B6" s="57" t="inlineStr">
        <is>
          <t>결과</t>
        </is>
      </c>
      <c r="C6" s="58" t="inlineStr">
        <is>
          <t>통과 — 직접 실행해 기대한 결과를 확인함 (증명이 필요한 항목은 증빙 첨부)
실패 — 실행했으나 기대와 다름 → 비고에 사유와 조치
미확인 — 실행하지 못함 → 비고에 사유
해당없음 — 선택하지 않은 심화 항목, 해당하지 않는 도메인 항목</t>
        </is>
      </c>
      <c r="D6" s="34" t="n"/>
      <c r="E6" s="34" t="n"/>
      <c r="F6" s="34" t="n"/>
      <c r="G6" s="34" t="n"/>
      <c r="H6" s="35" t="n"/>
    </row>
    <row r="7" ht="45.75" customHeight="1" s="28">
      <c r="B7" s="57" t="inlineStr">
        <is>
          <t>증빙</t>
        </is>
      </c>
      <c r="C7" s="58" t="inlineStr">
        <is>
          <t>화면 캡처의 파일명을 적고 제출물에 함께 넣습니다. 번호를 앞에 붙이면 찾기 쉽습니다. 예) 04_재질문_수집로그.png
캡처에 API 키와 오류 상세 내용이 보이지 않게 합니다.</t>
        </is>
      </c>
      <c r="D7" s="34" t="n"/>
      <c r="E7" s="34" t="n"/>
      <c r="F7" s="34" t="n"/>
      <c r="G7" s="34" t="n"/>
      <c r="H7" s="35" t="n"/>
    </row>
    <row r="8" ht="27.75" customHeight="1" s="28">
      <c r="B8" s="57" t="inlineStr">
        <is>
          <t>집계</t>
        </is>
      </c>
      <c r="C8" s="58" t="inlineStr">
        <is>
          <t>체크리스트 아래 집계 칸이 결과를 자동으로 셉니다. 제출 전에 「실패」 · 「미확인」 · 「미기입」이 남아 있으면 비고에 사유가 적혀 있는지 확인합니다.</t>
        </is>
      </c>
      <c r="D8" s="34" t="n"/>
      <c r="E8" s="34" t="n"/>
      <c r="F8" s="34" t="n"/>
      <c r="G8" s="34" t="n"/>
      <c r="H8" s="35" t="n"/>
    </row>
    <row r="9" ht="45.75" customHeight="1" s="28">
      <c r="B9" s="57" t="inlineStr">
        <is>
          <t>상호 피드백</t>
        </is>
      </c>
      <c r="C9" s="58" t="inlineStr">
        <is>
          <t>상호 점검 때는 맨 아래에 잘한 것 하나, 개선할 것 하나를 짧게 적어 돌려줍니다.
지적받은 결함 중 고칠 수 있는 것만 고치고 최종 제출합니다. 새 기능은 넣지 않습니다.</t>
        </is>
      </c>
      <c r="D9" s="34" t="n"/>
      <c r="E9" s="34" t="n"/>
      <c r="F9" s="34" t="n"/>
      <c r="G9" s="34" t="n"/>
      <c r="H9" s="35" t="n"/>
    </row>
    <row r="10" ht="27.75" customHeight="1" s="28">
      <c r="B10" s="57" t="inlineStr">
        <is>
          <t>가장 중요한 규칙</t>
        </is>
      </c>
      <c r="C10" s="59" t="inlineStr">
        <is>
          <t>확인하지 않은 것을 통과로 적지 않습니다.</t>
        </is>
      </c>
      <c r="D10" s="34" t="n"/>
      <c r="E10" s="34" t="n"/>
      <c r="F10" s="34" t="n"/>
      <c r="G10" s="34" t="n"/>
      <c r="H10" s="35" t="n"/>
    </row>
    <row r="12" ht="15" customHeight="1" s="28">
      <c r="B12" s="60" t="inlineStr">
        <is>
          <t>작성 예시 — 모양만 보여 주는 예입니다. 실제 체크리스트에는 이 줄을 옮기지 않습니다.</t>
        </is>
      </c>
    </row>
    <row r="13" ht="15" customHeight="1" s="28">
      <c r="B13" s="61" t="inlineStr">
        <is>
          <t>영역</t>
        </is>
      </c>
      <c r="C13" s="61" t="inlineStr">
        <is>
          <t>번호</t>
        </is>
      </c>
      <c r="D13" s="61" t="inlineStr">
        <is>
          <t>요구사항</t>
        </is>
      </c>
      <c r="E13" s="61" t="inlineStr">
        <is>
          <t>확인 항목</t>
        </is>
      </c>
      <c r="F13" s="61" t="inlineStr">
        <is>
          <t>결과</t>
        </is>
      </c>
      <c r="G13" s="61" t="inlineStr">
        <is>
          <t>증빙 (캡처 · 파일명)</t>
        </is>
      </c>
      <c r="H13" s="61" t="inlineStr">
        <is>
          <t>비고 (실패 · 미확인 사유)</t>
        </is>
      </c>
    </row>
    <row r="14" ht="45.75" customHeight="1" s="28">
      <c r="B14" s="36" t="inlineStr">
        <is>
          <t>문서 수집과 색인</t>
        </is>
      </c>
      <c r="C14" s="62" t="n">
        <v>4</v>
      </c>
      <c r="D14" s="63" t="inlineStr">
        <is>
          <t>F2004 · NF2002</t>
        </is>
      </c>
      <c r="E14" s="36" t="inlineStr">
        <is>
          <t>같은 질문을 다시 물었을 때 수집이 다시 일어나지 않는다</t>
        </is>
      </c>
      <c r="F14" s="64" t="inlineStr">
        <is>
          <t>통과</t>
        </is>
      </c>
      <c r="G14" s="63" t="inlineStr">
        <is>
          <t>04_재질문_수집로그.png</t>
        </is>
      </c>
      <c r="H14" s="36" t="n"/>
    </row>
    <row r="15" ht="45.75" customHeight="1" s="28">
      <c r="B15" s="36" t="inlineStr">
        <is>
          <t>답변과 근거</t>
        </is>
      </c>
      <c r="C15" s="62" t="n">
        <v>9</v>
      </c>
      <c r="D15" s="63" t="inlineStr">
        <is>
          <t>F2007 · F2008</t>
        </is>
      </c>
      <c r="E15" s="36" t="inlineStr">
        <is>
          <t>문서에 없는 것을 물으면 추측하지 않고 확인되지 않는다고 답하며, 인용된 근거가 없으면 그 사실이 화면에 안내된다</t>
        </is>
      </c>
      <c r="F15" s="65" t="inlineStr">
        <is>
          <t>실패</t>
        </is>
      </c>
      <c r="G15" s="63" t="inlineStr">
        <is>
          <t>09_없는내용_질문.png</t>
        </is>
      </c>
      <c r="H15" s="36" t="inlineStr">
        <is>
          <t>안내 문구는 나오지만 답변에 추측이 섞임 → 프롬프트 3에 '문서에 없으면 답하지 않는다' 규칙 추가 예정</t>
        </is>
      </c>
    </row>
    <row r="16" ht="45.75" customHeight="1" s="28">
      <c r="B16" s="36" t="inlineStr">
        <is>
          <t>심화 기능 (선택한 것만)</t>
        </is>
      </c>
      <c r="C16" s="62" t="n">
        <v>16</v>
      </c>
      <c r="D16" s="63" t="inlineStr">
        <is>
          <t>F2014</t>
        </is>
      </c>
      <c r="E16" s="36" t="inlineStr">
        <is>
          <t>같은 질문에 유사도 검색과 MMR 검색을 각각 적용했을 때 근거 목록이 어떻게 달라지는지 확인된다</t>
        </is>
      </c>
      <c r="F16" s="66" t="inlineStr">
        <is>
          <t>해당없음</t>
        </is>
      </c>
      <c r="G16" s="36" t="n"/>
      <c r="H16" s="63" t="inlineStr">
        <is>
          <t>MMR 심화 기능을 선택하지 않음</t>
        </is>
      </c>
    </row>
    <row r="17" ht="45.75" customHeight="1" s="28">
      <c r="B17" s="36" t="inlineStr">
        <is>
          <t>비기능 요구사항</t>
        </is>
      </c>
      <c r="C17" s="62" t="n">
        <v>20</v>
      </c>
      <c r="D17" s="63" t="inlineStr">
        <is>
          <t>NF2001</t>
        </is>
      </c>
      <c r="E17" s="36" t="inlineStr">
        <is>
          <t>대표 질문의 전체 처리 시간이 사용에 지장이 없다</t>
        </is>
      </c>
      <c r="F17" s="67" t="inlineStr">
        <is>
          <t>미확인</t>
        </is>
      </c>
      <c r="G17" s="36" t="n"/>
      <c r="H17" s="63" t="inlineStr">
        <is>
          <t>GMS 응답 지연으로 측정 못 함 → 상호 점검 전에 다시 측정</t>
        </is>
      </c>
    </row>
  </sheetData>
  <mergeCells count="9">
    <mergeCell ref="C6:H6"/>
    <mergeCell ref="C10:H10"/>
    <mergeCell ref="C5:H5"/>
    <mergeCell ref="C9:H9"/>
    <mergeCell ref="B12:H12"/>
    <mergeCell ref="B2:H2"/>
    <mergeCell ref="C8:H8"/>
    <mergeCell ref="C4:H4"/>
    <mergeCell ref="C7:H7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2026-08-25T11:58:43Z</dcterms:created>
  <dcterms:modified xmlns:dcterms="http://purl.org/dc/terms/" xmlns:xsi="http://www.w3.org/2001/XMLSchema-instance" xsi:type="dcterms:W3CDTF">2026-10-23T07:21:31Z</dcterms:modified>
  <cp:lastModifiedBy>처음처럼 늘</cp:lastModifiedBy>
  <cp:revision>0</cp:revision>
</cp:coreProperties>
</file>