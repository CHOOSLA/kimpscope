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체크리스트" sheetId="1" state="visible" r:id="rId1"/>
    <sheet xmlns:r="http://schemas.openxmlformats.org/officeDocument/2006/relationships" name="작성 안내" sheetId="2" state="visible" r:id="rId2"/>
  </sheets>
  <definedNames>
    <definedName name="_xlnm.Print_Titles" localSheetId="0">'체크리스트'!$8:$8</definedName>
    <definedName name="_xlnm.Print_Area" localSheetId="0">'체크리스트'!$B$2:$I$46</definedName>
  </definedNames>
  <calcPr calcId="124519" fullCalcOnLoad="1" refMode="A1" iterate="0" iterateCount="100" iterateDelta="0.0001"/>
</workbook>
</file>

<file path=xl/styles.xml><?xml version="1.0" encoding="utf-8"?>
<styleSheet xmlns="http://schemas.openxmlformats.org/spreadsheetml/2006/main">
  <numFmts count="0"/>
  <fonts count="25">
    <font>
      <name val="맑은 고딕"/>
      <charset val="1"/>
      <family val="2"/>
      <color theme="1"/>
      <sz val="11"/>
    </font>
    <font>
      <name val="Arial"/>
      <family val="0"/>
      <sz val="10"/>
    </font>
    <font>
      <name val="Arial"/>
      <family val="0"/>
      <sz val="10"/>
    </font>
    <font>
      <name val="Arial"/>
      <family val="0"/>
      <sz val="10"/>
    </font>
    <font>
      <name val="맑은 고딕"/>
      <charset val="129"/>
      <family val="3"/>
      <b val="1"/>
      <sz val="14"/>
    </font>
    <font>
      <name val="Noto Sans CJK SC"/>
      <family val="2"/>
      <b val="1"/>
      <sz val="14"/>
    </font>
    <font>
      <name val="Noto Sans CJK SC"/>
      <family val="2"/>
      <b val="1"/>
      <sz val="11"/>
    </font>
    <font>
      <name val="맑은 고딕"/>
      <charset val="129"/>
      <family val="3"/>
      <sz val="10"/>
    </font>
    <font>
      <name val="Noto Sans CJK SC"/>
      <family val="2"/>
      <sz val="10"/>
    </font>
    <font>
      <name val="Noto Sans CJK SC"/>
      <family val="2"/>
      <color rgb="FF595959"/>
      <sz val="9"/>
    </font>
    <font>
      <name val="맑은 고딕"/>
      <charset val="1"/>
      <family val="0"/>
      <color rgb="FF595959"/>
      <sz val="9"/>
    </font>
    <font>
      <name val="맑은 고딕"/>
      <charset val="129"/>
      <family val="3"/>
      <b val="1"/>
      <sz val="11"/>
    </font>
    <font>
      <name val="Noto Sans CJK SC"/>
      <family val="2"/>
      <b val="1"/>
      <sz val="10"/>
    </font>
    <font>
      <name val="맑은 고딕"/>
      <charset val="129"/>
      <family val="3"/>
      <b val="1"/>
      <sz val="10"/>
    </font>
    <font>
      <name val="맑은 고딕"/>
      <charset val="1"/>
      <family val="0"/>
      <b val="1"/>
      <sz val="11"/>
    </font>
    <font>
      <name val="맑은 고딕"/>
      <charset val="1"/>
      <family val="0"/>
      <sz val="10"/>
    </font>
    <font>
      <name val="Noto Sans CJK SC"/>
      <family val="2"/>
      <b val="1"/>
      <color rgb="FF000000"/>
      <sz val="14"/>
    </font>
    <font>
      <name val="맑은 고딕"/>
      <charset val="1"/>
      <family val="0"/>
      <b val="1"/>
      <color rgb="FF000000"/>
      <sz val="14"/>
    </font>
    <font>
      <name val="Noto Sans CJK SC"/>
      <family val="2"/>
      <b val="1"/>
      <color rgb="FF000000"/>
      <sz val="10"/>
    </font>
    <font>
      <name val="Noto Sans CJK SC"/>
      <family val="2"/>
      <color rgb="FF000000"/>
      <sz val="10"/>
    </font>
    <font>
      <name val="맑은 고딕"/>
      <charset val="1"/>
      <family val="0"/>
      <color rgb="FF000000"/>
      <sz val="10"/>
    </font>
    <font>
      <name val="Noto Sans CJK SC"/>
      <family val="2"/>
      <b val="1"/>
      <color rgb="FFC00000"/>
      <sz val="10"/>
    </font>
    <font>
      <name val="맑은 고딕"/>
      <charset val="1"/>
      <family val="0"/>
      <b val="1"/>
      <color rgb="FFC00000"/>
      <sz val="10"/>
    </font>
    <font>
      <name val="맑은 고딕"/>
      <charset val="1"/>
      <family val="0"/>
      <b val="1"/>
      <color rgb="FF000000"/>
      <sz val="10"/>
    </font>
    <font>
      <name val="맑은 고딕"/>
      <charset val="1"/>
      <family val="0"/>
      <b val="1"/>
      <sz val="10"/>
    </font>
  </fonts>
  <fills count="10">
    <fill>
      <patternFill/>
    </fill>
    <fill>
      <patternFill patternType="gray125"/>
    </fill>
    <fill>
      <patternFill patternType="solid">
        <fgColor rgb="FFFFE699"/>
        <bgColor rgb="FFFFEB9C"/>
      </patternFill>
    </fill>
    <fill>
      <patternFill patternType="solid">
        <fgColor rgb="FFD9D9D9"/>
        <bgColor rgb="FFE2EFDA"/>
      </patternFill>
    </fill>
    <fill>
      <patternFill patternType="solid">
        <fgColor rgb="FFFFF8E1"/>
        <bgColor rgb="FFFFF2CC"/>
      </patternFill>
    </fill>
    <fill>
      <patternFill patternType="solid">
        <fgColor rgb="FFDAF2D0"/>
        <bgColor rgb="FFE2EFDA"/>
      </patternFill>
    </fill>
    <fill>
      <patternFill patternType="solid">
        <fgColor rgb="FFE2EFDA"/>
        <bgColor rgb="FFDAF2D0"/>
      </patternFill>
    </fill>
    <fill>
      <patternFill patternType="solid">
        <fgColor rgb="FFFCE4D6"/>
        <bgColor rgb="FFFFF2CC"/>
      </patternFill>
    </fill>
    <fill>
      <patternFill patternType="solid">
        <fgColor rgb="FFEDEDED"/>
        <bgColor rgb="FFE2EFDA"/>
      </patternFill>
    </fill>
    <fill>
      <patternFill patternType="solid">
        <fgColor rgb="FFFFF2CC"/>
        <bgColor rgb="FFFFF8E1"/>
      </patternFill>
    </fill>
  </fills>
  <borders count="18">
    <border>
      <left/>
      <right/>
      <top/>
      <bottom/>
      <diagonal/>
    </border>
    <border>
      <left style="medium"/>
      <right style="medium"/>
      <top style="medium"/>
      <bottom style="medium"/>
      <diagonal/>
    </border>
    <border>
      <left style="thin"/>
      <right style="thin"/>
      <top style="thin"/>
      <bottom style="thin"/>
      <diagonal/>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8">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6" fillId="3" borderId="2" applyAlignment="1" pivotButton="0" quotePrefix="0" xfId="0">
      <alignment horizontal="center" vertical="center" wrapText="1"/>
    </xf>
    <xf numFmtId="0" fontId="7" fillId="4" borderId="2" applyAlignment="1" pivotButton="0" quotePrefix="0" xfId="0">
      <alignment horizontal="left" vertical="center" wrapText="1"/>
    </xf>
    <xf numFmtId="0" fontId="8" fillId="0" borderId="2" applyAlignment="1" pivotButton="0" quotePrefix="0" xfId="0">
      <alignment horizontal="left" vertical="center" wrapText="1"/>
    </xf>
    <xf numFmtId="0" fontId="9" fillId="0" borderId="0" applyAlignment="1" pivotButton="0" quotePrefix="0" xfId="0">
      <alignment horizontal="general" vertical="bottom"/>
    </xf>
    <xf numFmtId="0" fontId="6" fillId="5" borderId="2" applyAlignment="1" pivotButton="0" quotePrefix="0" xfId="0">
      <alignment horizontal="center" vertical="center" wrapText="1"/>
    </xf>
    <xf numFmtId="0" fontId="7" fillId="0"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0" borderId="2" applyAlignment="1" pivotButton="0" quotePrefix="0" xfId="0">
      <alignment horizontal="left" vertical="center" wrapText="1"/>
    </xf>
    <xf numFmtId="0" fontId="8"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13" fillId="0" borderId="2" applyAlignment="1" pivotButton="0" quotePrefix="0" xfId="0">
      <alignment horizontal="center" vertical="center" wrapText="1"/>
    </xf>
    <xf numFmtId="0" fontId="6" fillId="3" borderId="2" applyAlignment="1" pivotButton="0" quotePrefix="0" xfId="0">
      <alignment horizontal="center" vertical="center"/>
    </xf>
    <xf numFmtId="0" fontId="15" fillId="4" borderId="2" applyAlignment="1" pivotButton="0" quotePrefix="0" xfId="0">
      <alignment horizontal="left" vertical="center" wrapText="1"/>
    </xf>
    <xf numFmtId="0" fontId="16" fillId="0" borderId="0" applyAlignment="1" pivotButton="0" quotePrefix="0" xfId="0">
      <alignment horizontal="left" vertical="center" wrapText="1"/>
    </xf>
    <xf numFmtId="0" fontId="18" fillId="3" borderId="2" applyAlignment="1" pivotButton="0" quotePrefix="0" xfId="0">
      <alignment horizontal="center" vertical="center" wrapText="1"/>
    </xf>
    <xf numFmtId="0" fontId="19" fillId="0" borderId="2" applyAlignment="1" pivotButton="0" quotePrefix="0" xfId="0">
      <alignment horizontal="left" vertical="center" wrapText="1"/>
    </xf>
    <xf numFmtId="0" fontId="21" fillId="0" borderId="2" applyAlignment="1" pivotButton="0" quotePrefix="0" xfId="0">
      <alignment horizontal="left" vertical="center" wrapText="1"/>
    </xf>
    <xf numFmtId="0" fontId="18" fillId="0" borderId="0" applyAlignment="1" pivotButton="0" quotePrefix="0" xfId="0">
      <alignment horizontal="left" vertical="center" wrapText="1"/>
    </xf>
    <xf numFmtId="0" fontId="12" fillId="3" borderId="2" applyAlignment="1" pivotButton="0" quotePrefix="0" xfId="0">
      <alignment horizontal="center" vertical="center" wrapText="1"/>
    </xf>
    <xf numFmtId="0" fontId="15" fillId="0" borderId="2" applyAlignment="1" pivotButton="0" quotePrefix="0" xfId="0">
      <alignment horizontal="center" vertical="center" wrapText="1"/>
    </xf>
    <xf numFmtId="0" fontId="15" fillId="0" borderId="2" applyAlignment="1" pivotButton="0" quotePrefix="0" xfId="0">
      <alignment horizontal="left" vertical="center" wrapText="1"/>
    </xf>
    <xf numFmtId="0" fontId="8" fillId="6" borderId="2"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5" pivotButton="0" quotePrefix="0" xfId="0"/>
    <xf numFmtId="0" fontId="0" fillId="0" borderId="6" pivotButton="0" quotePrefix="0" xfId="0"/>
    <xf numFmtId="0" fontId="6" fillId="3" borderId="2" applyAlignment="1" pivotButton="0" quotePrefix="0" xfId="0">
      <alignment horizontal="center" vertical="center" wrapText="1"/>
    </xf>
    <xf numFmtId="0" fontId="7" fillId="4" borderId="2" applyAlignment="1" pivotButton="0" quotePrefix="0" xfId="0">
      <alignment horizontal="left" vertical="center" wrapText="1"/>
    </xf>
    <xf numFmtId="0" fontId="0" fillId="0" borderId="9" pivotButton="0" quotePrefix="0" xfId="0"/>
    <xf numFmtId="0" fontId="0" fillId="0" borderId="10" pivotButton="0" quotePrefix="0" xfId="0"/>
    <xf numFmtId="0" fontId="8" fillId="0" borderId="2"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9" fillId="0" borderId="0" applyAlignment="1" pivotButton="0" quotePrefix="0" xfId="0">
      <alignment horizontal="general" vertical="bottom"/>
    </xf>
    <xf numFmtId="0" fontId="6" fillId="5" borderId="2" applyAlignment="1" pivotButton="0" quotePrefix="0" xfId="0">
      <alignment horizontal="center" vertical="center" wrapText="1"/>
    </xf>
    <xf numFmtId="0" fontId="7" fillId="0" borderId="2" applyAlignment="1" pivotButton="0" quotePrefix="0" xfId="0">
      <alignment horizontal="center" vertical="center" wrapText="1"/>
    </xf>
    <xf numFmtId="0" fontId="7" fillId="4" borderId="2" applyAlignment="1" pivotButton="0" quotePrefix="0" xfId="0">
      <alignment horizontal="center" vertical="center" wrapText="1"/>
    </xf>
    <xf numFmtId="0" fontId="0" fillId="0" borderId="17" pivotButton="0" quotePrefix="0" xfId="0"/>
    <xf numFmtId="0" fontId="0" fillId="0" borderId="16" pivotButton="0" quotePrefix="0" xfId="0"/>
    <xf numFmtId="0" fontId="7" fillId="0" borderId="2" applyAlignment="1" pivotButton="0" quotePrefix="0" xfId="0">
      <alignment horizontal="left" vertical="center" wrapText="1"/>
    </xf>
    <xf numFmtId="0" fontId="8"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13" fillId="0" borderId="2" applyAlignment="1" pivotButton="0" quotePrefix="0" xfId="0">
      <alignment horizontal="center" vertical="center" wrapText="1"/>
    </xf>
    <xf numFmtId="0" fontId="6" fillId="3" borderId="2" applyAlignment="1" pivotButton="0" quotePrefix="0" xfId="0">
      <alignment horizontal="center" vertical="center"/>
    </xf>
    <xf numFmtId="0" fontId="15" fillId="4" borderId="2" applyAlignment="1" pivotButton="0" quotePrefix="0" xfId="0">
      <alignment horizontal="left" vertical="center" wrapText="1"/>
    </xf>
    <xf numFmtId="0" fontId="16" fillId="0" borderId="0" applyAlignment="1" pivotButton="0" quotePrefix="0" xfId="0">
      <alignment horizontal="left" vertical="center" wrapText="1"/>
    </xf>
    <xf numFmtId="0" fontId="18" fillId="3" borderId="2" applyAlignment="1" pivotButton="0" quotePrefix="0" xfId="0">
      <alignment horizontal="center" vertical="center" wrapText="1"/>
    </xf>
    <xf numFmtId="0" fontId="19" fillId="0" borderId="2" applyAlignment="1" pivotButton="0" quotePrefix="0" xfId="0">
      <alignment horizontal="left" vertical="center" wrapText="1"/>
    </xf>
    <xf numFmtId="0" fontId="21" fillId="0" borderId="2" applyAlignment="1" pivotButton="0" quotePrefix="0" xfId="0">
      <alignment horizontal="left" vertical="center" wrapText="1"/>
    </xf>
    <xf numFmtId="0" fontId="18" fillId="0" borderId="0" applyAlignment="1" pivotButton="0" quotePrefix="0" xfId="0">
      <alignment horizontal="left" vertical="center" wrapText="1"/>
    </xf>
    <xf numFmtId="0" fontId="12" fillId="3" borderId="2" applyAlignment="1" pivotButton="0" quotePrefix="0" xfId="0">
      <alignment horizontal="center" vertical="center" wrapText="1"/>
    </xf>
    <xf numFmtId="0" fontId="15" fillId="0" borderId="2" applyAlignment="1" pivotButton="0" quotePrefix="0" xfId="0">
      <alignment horizontal="center" vertical="center" wrapText="1"/>
    </xf>
    <xf numFmtId="0" fontId="15" fillId="0" borderId="2" applyAlignment="1" pivotButton="0" quotePrefix="0" xfId="0">
      <alignment horizontal="left" vertical="center" wrapText="1"/>
    </xf>
    <xf numFmtId="0" fontId="8" fillId="6" borderId="2"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8" fillId="9"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b val="1"/>
        <color rgb="FF006100"/>
      </font>
      <fill>
        <patternFill>
          <bgColor rgb="FFC6EFCE"/>
        </patternFill>
      </fill>
    </dxf>
    <dxf>
      <font>
        <b val="1"/>
        <color rgb="FF9C0006"/>
      </font>
      <fill>
        <patternFill>
          <bgColor rgb="FFFFC7CE"/>
        </patternFill>
      </fill>
    </dxf>
    <dxf>
      <font>
        <b val="1"/>
        <color rgb="FF9C5700"/>
      </font>
      <fill>
        <patternFill>
          <bgColor rgb="FFFFEB9C"/>
        </patternFill>
      </fill>
    </dxf>
    <dxf>
      <font>
        <b val="1"/>
        <color rgb="FF595959"/>
      </font>
      <fill>
        <patternFill>
          <bgColor rgb="FFEDEDED"/>
        </patternFill>
      </fill>
    </dxf>
  </dxfs>
  <colors>
    <indexedColors>
      <rgbColor rgb="FF000000"/>
      <rgbColor rgb="FFEDEDED"/>
      <rgbColor rgb="FFC00000"/>
      <rgbColor rgb="FF00FF00"/>
      <rgbColor rgb="FF0000FF"/>
      <rgbColor rgb="FFFFE699"/>
      <rgbColor rgb="FFFF00FF"/>
      <rgbColor rgb="FF00FFFF"/>
      <rgbColor rgb="FF9C0006"/>
      <rgbColor rgb="FF006100"/>
      <rgbColor rgb="FF000080"/>
      <rgbColor rgb="FF808000"/>
      <rgbColor rgb="FF800080"/>
      <rgbColor rgb="FF008080"/>
      <rgbColor rgb="FFFCE4D6"/>
      <rgbColor rgb="FF808080"/>
      <rgbColor rgb="FF9999FF"/>
      <rgbColor rgb="FF993366"/>
      <rgbColor rgb="FFFFF8E1"/>
      <rgbColor rgb="FFC6EFC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DAF2D0"/>
      <rgbColor rgb="FFFFEB9C"/>
      <rgbColor rgb="FFFFF2CC"/>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I46"/>
  <sheetViews>
    <sheetView showFormulas="0" showGridLines="0" showRowColHeaders="1" showZeros="1" rightToLeft="0" tabSelected="1" showOutlineSymbols="1" defaultGridColor="1" view="normal" topLeftCell="A1" colorId="64" zoomScale="90" zoomScaleNormal="90" zoomScalePageLayoutView="100" workbookViewId="0">
      <selection pane="topLeft" activeCell="A1" activeCellId="0" sqref="A1"/>
    </sheetView>
  </sheetViews>
  <sheetFormatPr baseColWidth="8" defaultColWidth="8.53125" defaultRowHeight="16.5" zeroHeight="0" outlineLevelRow="0"/>
  <cols>
    <col width="3" customWidth="1" style="27" min="1" max="1"/>
    <col width="13" customWidth="1" style="27" min="2" max="2"/>
    <col width="6" customWidth="1" style="27" min="3" max="3"/>
    <col width="14" customWidth="1" style="27" min="4" max="4"/>
    <col width="50" customWidth="1" style="27" min="5" max="5"/>
    <col width="46" customWidth="1" style="27" min="6" max="6"/>
    <col width="11" customWidth="1" style="27" min="7" max="7"/>
    <col width="24" customWidth="1" style="27" min="8" max="8"/>
    <col width="30" customWidth="1" style="27" min="9" max="9"/>
  </cols>
  <sheetData>
    <row r="2" ht="39.75" customHeight="1" s="28">
      <c r="B2" s="29" t="inlineStr">
        <is>
          <t>[SSAFY] AI 코어 프로젝트 2회차 — 셀프 · 상호 체크리스트</t>
        </is>
      </c>
      <c r="C2" s="30" t="n"/>
      <c r="D2" s="30" t="n"/>
      <c r="E2" s="30" t="n"/>
      <c r="F2" s="30" t="n"/>
      <c r="G2" s="30" t="n"/>
      <c r="H2" s="30" t="n"/>
      <c r="I2" s="31" t="n"/>
    </row>
    <row r="3" ht="24" customHeight="1" s="28">
      <c r="B3" s="32" t="inlineStr">
        <is>
          <t>점검 유형</t>
        </is>
      </c>
      <c r="C3" s="33" t="inlineStr">
        <is>
          <t>셀프</t>
        </is>
      </c>
      <c r="D3" s="34" t="n"/>
      <c r="E3" s="35" t="n"/>
      <c r="F3" s="36" t="inlineStr">
        <is>
          <t>결과 기입 기준
· 통과: 직접 실행해 기대한 결과를 확인함 (증명이 필요한 항목은 증빙 첨부)
· 실패: 실행했으나 기대와 다름 → 비고에 사유와 조치
· 미확인: 실행하지 못함 → 비고에 사유
· 해당없음: 선택하지 않은 심화 항목, 해당하지 않는 도메인 항목
※ 확인하지 않은 것을 통과로 적지 않습니다.</t>
        </is>
      </c>
      <c r="G3" s="37" t="n"/>
      <c r="H3" s="37" t="n"/>
      <c r="I3" s="38" t="n"/>
    </row>
    <row r="4" ht="24" customHeight="1" s="28">
      <c r="B4" s="32" t="inlineStr">
        <is>
          <t>앱 작성자</t>
        </is>
      </c>
      <c r="C4" s="33" t="inlineStr">
        <is>
          <t>추창우</t>
        </is>
      </c>
      <c r="D4" s="34" t="n"/>
      <c r="E4" s="35" t="n"/>
      <c r="F4" s="39" t="n"/>
      <c r="I4" s="40" t="n"/>
    </row>
    <row r="5" ht="24" customHeight="1" s="28">
      <c r="B5" s="32" t="inlineStr">
        <is>
          <t>점검자</t>
        </is>
      </c>
      <c r="C5" s="33" t="inlineStr">
        <is>
          <t>추창우 (실행: Claude)</t>
        </is>
      </c>
      <c r="D5" s="34" t="n"/>
      <c r="E5" s="35" t="n"/>
      <c r="F5" s="39" t="n"/>
      <c r="I5" s="40" t="n"/>
    </row>
    <row r="6" ht="24" customHeight="1" s="28">
      <c r="B6" s="32" t="inlineStr">
        <is>
          <t>점검 일시</t>
        </is>
      </c>
      <c r="C6" s="33" t="inlineStr">
        <is>
          <t>2026-10-23 16:00~16:32 KST</t>
        </is>
      </c>
      <c r="D6" s="34" t="n"/>
      <c r="E6" s="35" t="n"/>
      <c r="F6" s="41" t="n"/>
      <c r="G6" s="42" t="n"/>
      <c r="H6" s="42" t="n"/>
      <c r="I6" s="43" t="n"/>
    </row>
    <row r="7" ht="18" customHeight="1" s="28">
      <c r="B7" s="44" t="inlineStr">
        <is>
          <t>연한 노란 칸만 입력합니다.  결과(G열)는 목록에서 고릅니다 — 통과 · 실패 · 미확인 · 해당없음</t>
        </is>
      </c>
    </row>
    <row r="8" ht="24" customHeight="1" s="28">
      <c r="B8" s="32" t="inlineStr">
        <is>
          <t>영역</t>
        </is>
      </c>
      <c r="C8" s="32" t="inlineStr">
        <is>
          <t>번호</t>
        </is>
      </c>
      <c r="D8" s="32" t="inlineStr">
        <is>
          <t>요구사항</t>
        </is>
      </c>
      <c r="E8" s="32" t="inlineStr">
        <is>
          <t>확인 항목</t>
        </is>
      </c>
      <c r="F8" s="32" t="inlineStr">
        <is>
          <t>확인 방법</t>
        </is>
      </c>
      <c r="G8" s="32" t="inlineStr">
        <is>
          <t>결과</t>
        </is>
      </c>
      <c r="H8" s="32" t="inlineStr">
        <is>
          <t>증빙 (캡처 · 파일명)</t>
        </is>
      </c>
      <c r="I8" s="32" t="inlineStr">
        <is>
          <t>비고 (실패 · 미확인 사유)</t>
        </is>
      </c>
    </row>
    <row r="9" ht="34.5" customHeight="1" s="28">
      <c r="B9" s="45" t="inlineStr">
        <is>
          <t>데이터와 색인</t>
        </is>
      </c>
      <c r="C9" s="46" t="n">
        <v>1</v>
      </c>
      <c r="D9" s="46" t="inlineStr">
        <is>
          <t>F2001</t>
        </is>
      </c>
      <c r="E9" s="36" t="inlineStr">
        <is>
          <t>로드한 항목 수와 색인된 청크 수가 일치하고, 항목 1건의 색인 텍스트에 의도한 속성이 모두 들어 있다</t>
        </is>
      </c>
      <c r="F9" s="36" t="inlineStr">
        <is>
          <t>로드 건수와 컬렉션 건수를 출력해 비교하고, 항목 1건의 색인 텍스트 확인</t>
        </is>
      </c>
      <c r="G9" s="47" t="inlineStr">
        <is>
          <t>통과</t>
        </is>
      </c>
      <c r="H9" s="33" t="inlineStr">
        <is>
          <t>local_index.json, api_run.json</t>
        </is>
      </c>
      <c r="I9" s="33" t="inlineStr">
        <is>
          <t>로드 298건 = items 컬렉션 298건(로컬·운영 모두). BTC 색인 텍스트에 한글명·영문명·심볼·거래 페어·기준 통화·거래소·유의종목 여부가 모두 있다.</t>
        </is>
      </c>
    </row>
    <row r="10" ht="24" customHeight="1" s="28">
      <c r="B10" s="48" t="n"/>
      <c r="C10" s="46" t="n">
        <v>2</v>
      </c>
      <c r="D10" s="46" t="inlineStr">
        <is>
          <t>F2002</t>
        </is>
      </c>
      <c r="E10" s="36" t="inlineStr">
        <is>
          <t>색인 작업을 두 번 실행해도 청크 수가 늘지 않는다</t>
        </is>
      </c>
      <c r="F10" s="36" t="inlineStr">
        <is>
          <t>스크립트를 두 번 실행하고 전후 청크 수 비교</t>
        </is>
      </c>
      <c r="G10" s="47" t="inlineStr">
        <is>
          <t>통과</t>
        </is>
      </c>
      <c r="H10" s="33" t="inlineStr">
        <is>
          <t>local_index.json, api_run.json</t>
        </is>
      </c>
      <c r="I10" s="33" t="inlineStr">
        <is>
          <t>로컬: 메타데이터 298→298, 외부 문서 청크 7→7(같은 문서 두 번 색인). 운영: /api/index 재실행 후 indexed 298 유지('298건 색인 완료').</t>
        </is>
      </c>
    </row>
    <row r="11" ht="48" customHeight="1" s="28">
      <c r="B11" s="45" t="inlineStr">
        <is>
          <t>문서 수집과 색인</t>
        </is>
      </c>
      <c r="C11" s="46" t="n">
        <v>3</v>
      </c>
      <c r="D11" s="46" t="inlineStr">
        <is>
          <t>F2003 · F2004</t>
        </is>
      </c>
      <c r="E11" s="36" t="inlineStr">
        <is>
          <t>검색어 추출(프롬프트 1)이 뽑은 검색어 목록이 확인되고, 후보 선별(프롬프트 2)에 따라 색인된 문서와 버려진 문서가 구분된다</t>
        </is>
      </c>
      <c r="F11" s="36" t="inlineStr">
        <is>
          <t>질문 1개를 실행하고 검색어 목록과 선별 결과를 나란히 출력</t>
        </is>
      </c>
      <c r="G11" s="47" t="inlineStr">
        <is>
          <t>통과</t>
        </is>
      </c>
      <c r="H11" s="33" t="inlineStr">
        <is>
          <t>api_run.json, screenshots/08_citation_list_and_keywords.jpg</t>
        </is>
      </c>
      <c r="I11" s="33" t="inlineStr">
        <is>
          <t>SOL 질문 1개: 프롬프트 1 검색어 6개(솔라나, SOL, 솔라나 입출금 중지 …), 프롬프트 2 선별 결과 색인 2건(자체 메타데이터, 빗썸 SOL 공지) / 제외 2건(업비트 API 문서 2). 화면 답변 아래에도 '검색어 … · 색인 n건 · 제외 m건' 표시. 검색어·선별 결과 출력은 이번 점검 중 추가한 기능(collection 응답).</t>
        </is>
      </c>
    </row>
    <row r="12" ht="34.5" customHeight="1" s="28">
      <c r="B12" s="49" t="n"/>
      <c r="C12" s="46" t="n">
        <v>4</v>
      </c>
      <c r="D12" s="46" t="inlineStr">
        <is>
          <t>F2004 · NF2002</t>
        </is>
      </c>
      <c r="E12" s="36" t="inlineStr">
        <is>
          <t>같은 질문을 다시 물었을 때 수집이 다시 일어나지 않는다</t>
        </is>
      </c>
      <c r="F12" s="36" t="inlineStr">
        <is>
          <t>같은 질문을 두 번 실행해 수집 로그와 처리 시간 비교</t>
        </is>
      </c>
      <c r="G12" s="47" t="inlineStr">
        <is>
          <t>통과</t>
        </is>
      </c>
      <c r="H12" s="33" t="inlineStr">
        <is>
          <t>api_run.json, tests/test_collection_report.py</t>
        </is>
      </c>
      <c r="I12" s="33" t="inlineStr">
        <is>
          <t>같은 질문 두 번: 1회차 cache_hit=false 23.3초, 2회차 cache_hit=true 13.8초. 2회차는 프롬프트 1·2와 수집을 건너뛰고 답변 생성만 다시 한다(테스트로 프롬프트 재호출 0회 확인). 2회차 뒤 문서 청크 6개(1회차 직후 값은 기록하지 않았다. 재색인 시 청크가 늘지 않는 것은 2번에서 확인).</t>
        </is>
      </c>
    </row>
    <row r="13" ht="34.5" customHeight="1" s="28">
      <c r="B13" s="48" t="n"/>
      <c r="C13" s="46" t="n">
        <v>5</v>
      </c>
      <c r="D13" s="46" t="inlineStr">
        <is>
          <t>F2005</t>
        </is>
      </c>
      <c r="E13" s="36" t="inlineStr">
        <is>
          <t>청크 크기 또는 중복 길이를 설정에서 바꿔 색인하면 청크 수가 달라진다</t>
        </is>
      </c>
      <c r="F13" s="36" t="inlineStr">
        <is>
          <t>설정값을 바꿔 재색인하고 청크 수 비교</t>
        </is>
      </c>
      <c r="G13" s="47" t="inlineStr">
        <is>
          <t>통과</t>
        </is>
      </c>
      <c r="H13" s="33" t="inlineStr">
        <is>
          <t>local_index.json</t>
        </is>
      </c>
      <c r="I13" s="33" t="inlineStr">
        <is>
          <t>청크 크기/중복 800/120 → 7개, 400/60 → 15개, 1200/200 → 5개. 로컬 실행이며 임베딩은 결정적 스텁, 문서는 저장소 장문(docs/LIVE_EVIDENCE.md 3,566자)을 썼다. 운영 문서로는 설정 변경 재배포가 필요해 실행하지 않았다. 청크 ID는 항목ID:문서ID:순번이라 BTC·ETH 간 겹침 0.</t>
        </is>
      </c>
    </row>
    <row r="14" ht="34.5" customHeight="1" s="28">
      <c r="B14" s="45" t="inlineStr">
        <is>
          <t>답변과 근거</t>
        </is>
      </c>
      <c r="C14" s="46" t="n">
        <v>6</v>
      </c>
      <c r="D14" s="46" t="inlineStr">
        <is>
          <t>F2006</t>
        </is>
      </c>
      <c r="E14" s="36" t="inlineStr">
        <is>
          <t>검색할 근거 수(Top-k)를 설정에서 바꾸면 같은 질문의 근거 목록이 달라진다</t>
        </is>
      </c>
      <c r="F14" s="50" t="inlineStr">
        <is>
          <t>Top-k 값을 바꿔 같은 질문을 실행하고 근거 목록 비교</t>
        </is>
      </c>
      <c r="G14" s="47" t="inlineStr">
        <is>
          <t>통과</t>
        </is>
      </c>
      <c r="H14" s="33" t="inlineStr">
        <is>
          <t>api_run.json</t>
        </is>
      </c>
      <c r="I14" s="33" t="inlineStr">
        <is>
          <t>같은 SOL 질문에서 Top-k 3 → 외부 문서 청크 2개, Top-k 8 → 5개(해당 공지의 청크 전부). 3이 2개인 것은 검색 상위에 든 자체 메타데이터 청크가 이미 넣은 항목 메타데이터와 같아 중복 제거됐기 때문이다. 메타데이터는 항상 1번.</t>
        </is>
      </c>
    </row>
    <row r="15" ht="34.5" customHeight="1" s="28">
      <c r="B15" s="49" t="n"/>
      <c r="C15" s="46" t="n">
        <v>7</v>
      </c>
      <c r="D15" s="46" t="inlineStr">
        <is>
          <t>F2007</t>
        </is>
      </c>
      <c r="E15" s="50" t="inlineStr">
        <is>
          <t>LangGraph가 retrieve와 generate 두 노드로 구성되어 있다</t>
        </is>
      </c>
      <c r="F15" s="36" t="inlineStr">
        <is>
          <t>그래프 구조 출력 또는 코드 캡처</t>
        </is>
      </c>
      <c r="G15" s="47" t="inlineStr">
        <is>
          <t>통과</t>
        </is>
      </c>
      <c r="H15" s="33" t="inlineStr">
        <is>
          <t>local_index.json, backend/pipeline.py</t>
        </is>
      </c>
      <c r="I15" s="33" t="inlineStr">
        <is>
          <t>그래프 노드 __start__ → retrieve → generate → __end__.</t>
        </is>
      </c>
    </row>
    <row r="16" ht="34.5" customHeight="1" s="28">
      <c r="B16" s="49" t="n"/>
      <c r="C16" s="46" t="n">
        <v>8</v>
      </c>
      <c r="D16" s="46" t="inlineStr">
        <is>
          <t>F2008</t>
        </is>
      </c>
      <c r="E16" s="36" t="inlineStr">
        <is>
          <t>답변 본문의 근거 번호와 화면의 근거 목록이 일치하고, 항목 메타데이터와 외부 문서가 구분되어 표시된다</t>
        </is>
      </c>
      <c r="F16" s="36" t="inlineStr">
        <is>
          <t>답변을 생성해 번호와 목록을 대조</t>
        </is>
      </c>
      <c r="G16" s="47" t="inlineStr">
        <is>
          <t>통과</t>
        </is>
      </c>
      <c r="H16" s="33" t="inlineStr">
        <is>
          <t>api_run.json, screenshots/08_answer_with_numbers.jpg, screenshots/08_citation_list_and_keywords.jpg</t>
        </is>
      </c>
      <c r="I16" s="33" t="inlineStr">
        <is>
          <t>답변 본문 번호 [1][3][4][5][6] = 화면 근거 목록 [1][3][4][5][6]. 출처 종류가 '항목 메타데이터'와 '빗썸 공지 원문 (업비트 상태 아님)'으로 나뉘어 표시된다.</t>
        </is>
      </c>
    </row>
    <row r="17" ht="48" customHeight="1" s="28">
      <c r="B17" s="48" t="n"/>
      <c r="C17" s="46" t="n">
        <v>9</v>
      </c>
      <c r="D17" s="46" t="inlineStr">
        <is>
          <t>F2007 · F2008</t>
        </is>
      </c>
      <c r="E17" s="36" t="inlineStr">
        <is>
          <t>문서에 없는 것을 물으면 추측하지 않고 확인되지 않는다고 답하며, 인용된 근거가 없으면 그 사실이 화면에 안내된다</t>
        </is>
      </c>
      <c r="F17" s="36" t="inlineStr">
        <is>
          <t>색인에 없는 내용을 질문해 답변과 안내 확인</t>
        </is>
      </c>
      <c r="G17" s="47" t="inlineStr">
        <is>
          <t>통과</t>
        </is>
      </c>
      <c r="H17" s="33" t="inlineStr">
        <is>
          <t>api_run.json, screenshots/09_14_no_citation_and_disclaimer.jpg</t>
        </is>
      </c>
      <c r="I17" s="33" t="inlineStr">
        <is>
          <t>'사토시 나카모토의 실제 거주지 주소'는 '제공된 근거에 없습니다'로 답했다. 다만 이 답에도 메타데이터·시세 스냅샷을 [1][2]로 붙였다(근거 없음을 말하면서 인용한 것). 인용이 없는 답(투자 판단 질문)에서는 화면에 '생성 답변의 인용 문서 없음'이 표시된다.</t>
        </is>
      </c>
    </row>
    <row r="18" ht="24" customHeight="1" s="28">
      <c r="B18" s="45" t="inlineStr">
        <is>
          <t>서비스 기능과 화면</t>
        </is>
      </c>
      <c r="C18" s="46" t="n">
        <v>10</v>
      </c>
      <c r="D18" s="46" t="inlineStr">
        <is>
          <t>F2009</t>
        </is>
      </c>
      <c r="E18" s="36" t="inlineStr">
        <is>
          <t>항목을 바꿨을 때 이전 대화가 섞이지 않는다</t>
        </is>
      </c>
      <c r="F18" s="36" t="inlineStr">
        <is>
          <t>항목 A에서 대화 후 항목 B로 바꿔 질문</t>
        </is>
      </c>
      <c r="G18" s="47" t="inlineStr">
        <is>
          <t>통과</t>
        </is>
      </c>
      <c r="H18" s="33" t="inlineStr">
        <is>
          <t>ui_history_switch.json, screenshots/10_history_per_coin_sol.jpg, screenshots/12_live_kimp_answer.jpg</t>
        </is>
      </c>
      <c r="I18" s="33" t="inlineStr">
        <is>
          <t>SOL에서 질문 → BTC로 바꿔 질문(캡처 12) → SOL로 돌아오면 SOL의 질문·답변 1쌍만 있고 BTC 대화가 섞이지 않는다(돌아온 직후 대화 목록을 DOM에서 읽은 값: ui_history_switch.json). 새로고침 뒤에도 코인별 기록이 유지된다(캡처 19 하단). 코인 전환은 화면의 selectCoin을 직접 호출했다(시세표가 5초마다 다시 그려져 행 클릭 참조가 계속 바뀜).</t>
        </is>
      </c>
    </row>
    <row r="19" ht="34.5" customHeight="1" s="28">
      <c r="B19" s="49" t="n"/>
      <c r="C19" s="46" t="n">
        <v>11</v>
      </c>
      <c r="D19" s="46" t="inlineStr">
        <is>
          <t>F2011</t>
        </is>
      </c>
      <c r="E19" s="36" t="inlineStr">
        <is>
          <t>조건 기반 탐색 결과에 조건과 맞지 않는 항목이 섞이지 않는다</t>
        </is>
      </c>
      <c r="F19" s="36" t="inlineStr">
        <is>
          <t>조건을 입력해 결과 항목을 하나씩 대조</t>
        </is>
      </c>
      <c r="G19" s="47" t="inlineStr">
        <is>
          <t>통과</t>
        </is>
      </c>
      <c r="H19" s="33" t="inlineStr">
        <is>
          <t>api_run.json, api_rerun_after_fix.json, screenshots/11_condition_search.jpg, screenshots/11_condition_result_to_chat.jpg</t>
        </is>
      </c>
      <c r="I19" s="33" t="inlineStr">
        <is>
          <t>'유의종목인 코인' → 6건, 6건 모두 warning=true. 결과를 누르면 해당 코인 채팅으로 이동. 처음 실행에서 '유의종목이 아닌 비트코인'이 0건이었다(모델이 symbol에 '비트코인'을 넣음). 이름을 티커로 바꾸도록 고친 뒤 재실행: 조건 {symbol: BTC, warning: false} → 1건.</t>
        </is>
      </c>
    </row>
    <row r="20" ht="24" customHeight="1" s="28">
      <c r="B20" s="49" t="n"/>
      <c r="C20" s="46" t="n">
        <v>12</v>
      </c>
      <c r="D20" s="46" t="inlineStr">
        <is>
          <t>F2010</t>
        </is>
      </c>
      <c r="E20" s="36" t="inlineStr">
        <is>
          <t>도메인 특화 기능의 결과에도 근거가 함께 제시된다</t>
        </is>
      </c>
      <c r="F20" s="36" t="inlineStr">
        <is>
          <t>특화 기능을 실행해 근거 표시 확인</t>
        </is>
      </c>
      <c r="G20" s="47" t="inlineStr">
        <is>
          <t>통과</t>
        </is>
      </c>
      <c r="H20" s="33" t="inlineStr">
        <is>
          <t>api_run.json, api_rerun_after_fix.json, screenshots/12_live_kimp_answer.jpg</t>
        </is>
      </c>
      <c r="I20" s="33" t="inlineStr">
        <is>
          <t>특화 기능(김프 실시간 근거): '지금 비트코인 김프 몇 %야?' → 기준 시각과 +0.86~0.87%를 '실시간 시세 스냅샷' 근거로 인용. 처음 실행에서 '솔라나 김프가 다르게 움직인 이유'에 전제(SOL만 다르다)를 받아들이고 입출금 중지를 원인으로 단정했다. 프롬프트에 전제 확인 규칙을 넣은 뒤 재실행(1회)에서는 전제를 뒷받침하는 근거가 없어 이유를 확인할 수 없다고 답하고 원인을 단정하지 않았다. 입출금 상태 근거는 15분 수집이 아직 돌지 않아 비어 있다(상태 질문은 근거 없음으로 거절).</t>
        </is>
      </c>
    </row>
    <row r="21" ht="34.5" customHeight="1" s="28">
      <c r="B21" s="49" t="n"/>
      <c r="C21" s="46" t="n">
        <v>13</v>
      </c>
      <c r="D21" s="46" t="inlineStr">
        <is>
          <t>F2012</t>
        </is>
      </c>
      <c r="E21" s="36" t="inlineStr">
        <is>
          <t>처리 중 진행 상태가 표시되고, 색인이 없을 때와 API 키가 없을 때 각각 안내가 표시된다</t>
        </is>
      </c>
      <c r="F21" s="36" t="inlineStr">
        <is>
          <t>첫 질문 실행 중 화면 확인, 색인 삭제 후 실행, 키를 비우고 실행</t>
        </is>
      </c>
      <c r="G21" s="47" t="inlineStr">
        <is>
          <t>통과</t>
        </is>
      </c>
      <c r="H21" s="33" t="inlineStr">
        <is>
          <t>screenshots/13_progress.jpg, local_index.json</t>
        </is>
      </c>
      <c r="I21" s="33" t="inlineStr">
        <is>
          <t>질문 처리 중 '문서 준비 · 의미 검색 · 답변 처리 중…' 표시. 색인 없음 → 409 '검색 색인이 없습니다. 데이터 색인을 먼저 실행하세요.', 키 없음 → 'missing_key' 안내와 검색 결과 표시(로컬 실행). 운영에서 색인 삭제·키 제거는 하지 않았다.</t>
        </is>
      </c>
    </row>
    <row r="22" ht="48" customHeight="1" s="28">
      <c r="B22" s="48" t="n"/>
      <c r="C22" s="46" t="n">
        <v>14</v>
      </c>
      <c r="D22" s="46" t="inlineStr">
        <is>
          <t>F2012</t>
        </is>
      </c>
      <c r="E22" s="50" t="inlineStr">
        <is>
          <t>(해당 도메인만) 건강 · 금융처럼 판단이 위험한 도메인이면 전문가 조언을 대신하지 않는다는 안내가 표시된다</t>
        </is>
      </c>
      <c r="F22" s="36" t="inlineStr">
        <is>
          <t>답변 화면에서 면책 안내 확인</t>
        </is>
      </c>
      <c r="G22" s="47" t="inlineStr">
        <is>
          <t>통과</t>
        </is>
      </c>
      <c r="H22" s="33" t="inlineStr">
        <is>
          <t>screenshots/09_14_no_citation_and_disclaimer.jpg, api_run.json</t>
        </is>
      </c>
      <c r="I22" s="33" t="inlineStr">
        <is>
          <t>채팅 하단 상시 안내 '문서 수집 시점과 현재 상태는 다를 수 있습니다. 투자 조언을 대체하지 않습니다.' 투자 판단·예측 질문은 근거가 있어도 보류한다.</t>
        </is>
      </c>
    </row>
    <row r="23" ht="34.5" customHeight="1" s="28">
      <c r="B23" s="45" t="inlineStr">
        <is>
          <t>심화 기능 (선택한 것만)</t>
        </is>
      </c>
      <c r="C23" s="46" t="n">
        <v>15</v>
      </c>
      <c r="D23" s="46" t="inlineStr">
        <is>
          <t>F2013</t>
        </is>
      </c>
      <c r="E23" s="36" t="inlineStr">
        <is>
          <t>화면이 HTML · CSS · JavaScript로 동작하고 질문 · 답변 · 근거가 모두 표시된다</t>
        </is>
      </c>
      <c r="F23" s="36" t="inlineStr">
        <is>
          <t>화면 실행 후 질문 · 답변 · 근거 표시 확인</t>
        </is>
      </c>
      <c r="G23" s="47" t="inlineStr">
        <is>
          <t>통과</t>
        </is>
      </c>
      <c r="H23" s="33" t="inlineStr">
        <is>
          <t>screenshots/01_main_market.jpg, screenshots/08_answer_with_numbers.jpg, screenshots/19_citation_source_type.jpg</t>
        </is>
      </c>
      <c r="I23" s="33" t="inlineStr">
        <is>
          <t>dist/의 HTML·CSS·JS 화면이 FastAPI API와 분리돼 동작. 질문·답변·근거 목록·근거 원문 보기까지 확인.</t>
        </is>
      </c>
    </row>
    <row r="24" ht="34.5" customHeight="1" s="28">
      <c r="B24" s="49" t="n"/>
      <c r="C24" s="46" t="n">
        <v>16</v>
      </c>
      <c r="D24" s="46" t="inlineStr">
        <is>
          <t>F2014</t>
        </is>
      </c>
      <c r="E24" s="36" t="inlineStr">
        <is>
          <t>같은 질문에 유사도 검색과 MMR 검색을 각각 적용했을 때 근거 목록이 어떻게 달라지는지 확인된다</t>
        </is>
      </c>
      <c r="F24" s="36" t="inlineStr">
        <is>
          <t>두 검색 방식의 근거 목록을 나란히 비교</t>
        </is>
      </c>
      <c r="G24" s="47" t="inlineStr">
        <is>
          <t>통과</t>
        </is>
      </c>
      <c r="H24" s="33" t="inlineStr">
        <is>
          <t>api_run.json</t>
        </is>
      </c>
      <c r="I24" s="33" t="inlineStr">
        <is>
          <t>같은 SOL 질문(Top-k 5): 유사도는 공지 청크 2·0·3·1, MMR은 2·0·4·3. MMR이 유사도 4위 청크(1) 대신 앞 청크와 덜 겹치는 청크(4)를 골랐다. 근거 문서가 공지 1건뿐이라 차이가 작다.</t>
        </is>
      </c>
    </row>
    <row r="25" ht="61.5" customHeight="1" s="28">
      <c r="B25" s="49" t="n"/>
      <c r="C25" s="46" t="n">
        <v>17</v>
      </c>
      <c r="D25" s="46" t="inlineStr">
        <is>
          <t>F2015</t>
        </is>
      </c>
      <c r="E25" s="36" t="inlineStr">
        <is>
          <t>대표 질문 5개 이상(근거 없이 답하면 틀리기 쉬운 질문)을 RAG 없이 / 근거를 붙여 각각 답하게 해, 사실 정확성 · 근거 제시 여부 · 모르는 것을 모른다고 답하는지를 비교해 기록했다</t>
        </is>
      </c>
      <c r="F25" s="36" t="inlineStr">
        <is>
          <t>비교 기록 확인</t>
        </is>
      </c>
      <c r="G25" s="47" t="inlineStr">
        <is>
          <t>통과</t>
        </is>
      </c>
      <c r="H25" s="33" t="inlineStr">
        <is>
          <t>docs/RAG_COMPARISON.md, docs/evaluation.json</t>
        </is>
      </c>
      <c r="I25" s="33" t="inlineStr">
        <is>
          <t>질문 5개를 RAG 없이/RAG로 실행한 기록(evaluation.json, 2026-10-22 PC 실연동 검증 때 생성 — WINDOWS_VERIFICATION.md). 파일에는 날짜·모델 필드가 없다. RAG 없이 틀림 1(업비트 trade_time을 KST로 답함)·맥락 이탈 1, RAG는 수정 전 문서 속 예시 가격을 현재가로 답한 1건. 판정은 Claude가 인용 원문과 대조해 적었고 사람 판정은 없다(원자료 review 칸은 '사람 검토 필요'). 질문 세트는 김프 도메인 확정 전 것이다.</t>
        </is>
      </c>
    </row>
    <row r="26" ht="24" customHeight="1" s="28">
      <c r="B26" s="49" t="n"/>
      <c r="C26" s="46" t="n">
        <v>18</v>
      </c>
      <c r="D26" s="46" t="inlineStr">
        <is>
          <t>F2015</t>
        </is>
      </c>
      <c r="E26" s="36" t="inlineStr">
        <is>
          <t>비교 결과를 문서로 작성해 제출물에 포함했다</t>
        </is>
      </c>
      <c r="F26" s="36" t="inlineStr">
        <is>
          <t>제출물 폴더 확인</t>
        </is>
      </c>
      <c r="G26" s="47" t="inlineStr">
        <is>
          <t>통과</t>
        </is>
      </c>
      <c r="H26" s="33" t="inlineStr">
        <is>
          <t>docs/RAG_COMPARISON.md</t>
        </is>
      </c>
      <c r="I26" s="33" t="inlineStr"/>
    </row>
    <row r="27" ht="24" customHeight="1" s="28">
      <c r="B27" s="48" t="n"/>
      <c r="C27" s="46" t="n">
        <v>19</v>
      </c>
      <c r="D27" s="46" t="inlineStr">
        <is>
          <t>F2016</t>
        </is>
      </c>
      <c r="E27" s="36" t="inlineStr">
        <is>
          <t>근거 목록에 출처의 종류가 구분되어 표시된다</t>
        </is>
      </c>
      <c r="F27" s="36" t="inlineStr">
        <is>
          <t>근거 목록 화면 확인</t>
        </is>
      </c>
      <c r="G27" s="47" t="inlineStr">
        <is>
          <t>통과</t>
        </is>
      </c>
      <c r="H27" s="33" t="inlineStr">
        <is>
          <t>screenshots/19_citation_source_type.jpg, screenshots/19_document_panel_after_fix.jpg, api_run.json</t>
        </is>
      </c>
      <c r="I27" s="33" t="inlineStr">
        <is>
          <t>답변 근거 목록에는 3종류가 구분 표시된다: 항목 메타데이터, 빗썸 공지 원문(업비트 상태 아님), 실시간 시세 스냅샷. 문서 목록 패널에는 거래소 API 문서·프로젝트 공식 가이드까지 종류와 날짜가 표시된다. 근거 원문 보기에서 거래소·게시·개정 시각도 보인다. 이번 질문들에서는 공식 문서가 선별에서 제외돼 근거 목록에 오르지 않았다.</t>
        </is>
      </c>
    </row>
    <row r="28" ht="24" customHeight="1" s="28">
      <c r="B28" s="45" t="inlineStr">
        <is>
          <t>비기능 요구사항</t>
        </is>
      </c>
      <c r="C28" s="46" t="n">
        <v>20</v>
      </c>
      <c r="D28" s="46" t="inlineStr">
        <is>
          <t>NF2001</t>
        </is>
      </c>
      <c r="E28" s="36" t="inlineStr">
        <is>
          <t>대표 질문의 전체 처리 시간이 사용에 지장이 없다</t>
        </is>
      </c>
      <c r="F28" s="36" t="inlineStr">
        <is>
          <t>첫 질문과 두 번째 질문의 처리 시간을 나눠 측정</t>
        </is>
      </c>
      <c r="G28" s="47" t="inlineStr">
        <is>
          <t>통과</t>
        </is>
      </c>
      <c r="H28" s="33" t="inlineStr">
        <is>
          <t>api_run.json, screenshots/12_live_kimp_answer.jpg</t>
        </is>
      </c>
      <c r="I28" s="33" t="inlineStr">
        <is>
          <t>팀 기준을 '30초 이내 + 처리 중 표시'로 정했다. 첫 질문 23.3초, 같은 질문 재실행 13.8초, 다른 첫 질문 14~19초(화면에서 26.1초 1회). 대부분이 생성 모델 호출 시간이다. 투자 판단 질문도 수집을 먼저 해 16.0초가 걸린다(보류 판정을 앞당기면 줄일 수 있음). 무료 서버가 잠든 뒤의 첫 접속 시간은 측정하지 않았다.</t>
        </is>
      </c>
    </row>
    <row r="29" ht="48" customHeight="1" s="28">
      <c r="B29" s="49" t="n"/>
      <c r="C29" s="46" t="n">
        <v>21</v>
      </c>
      <c r="D29" s="46" t="inlineStr">
        <is>
          <t>NF2003 · NF2004</t>
        </is>
      </c>
      <c r="E29" s="36" t="inlineStr">
        <is>
          <t>소스코드와 제출물에 API 키가 남아 있지 않고, 화면에 API 키 · 프롬프트 전문 · 오류 추적 정보가 노출되지 않는다</t>
        </is>
      </c>
      <c r="F29" s="36" t="inlineStr">
        <is>
          <t>저장소 전체에서 키 문자열 검색(.env 제외 여부 확인), 오류 상황을 일부러 만들어 화면 확인</t>
        </is>
      </c>
      <c r="G29" s="47" t="inlineStr">
        <is>
          <t>통과</t>
        </is>
      </c>
      <c r="H29" s="33" t="inlineStr">
        <is>
          <t>secret_scan.txt, api_run.json</t>
        </is>
      </c>
      <c r="I29" s="33" t="inlineStr">
        <is>
          <t>전체 커밋 이력에서 키 형식 문자열(sk-, npg_, 비밀번호 포함 DB URL, AWS 키, 개인키) 0건, 추적 중인 .env 0개, .env는 .gitignore(secret_scan.txt). 오류 상황(없는 코인 404, Top-k 99 422, 잘못된 기간 400, 잘못된 공지 ID 404)은 짧은 안내만 돌려주고 스택 추적·프롬프트·키가 없다. 422는 입력값 검증 내용(필드·한도)을 보여 준다. 화면 캡처 11장에도 키·오류 상세가 없다. 화면 오류 표시는 API 응답으로 확인했다.</t>
        </is>
      </c>
    </row>
    <row r="30" ht="34.5" customHeight="1" s="28">
      <c r="B30" s="49" t="n"/>
      <c r="C30" s="46" t="n">
        <v>22</v>
      </c>
      <c r="D30" s="46" t="inlineStr">
        <is>
          <t>NF2005</t>
        </is>
      </c>
      <c r="E30" s="36" t="inlineStr">
        <is>
          <t>수집 · 색인 · 검색 · 생성 · UI가 모듈로 분리되어 있다</t>
        </is>
      </c>
      <c r="F30" s="36" t="inlineStr">
        <is>
          <t>파일 구성 확인</t>
        </is>
      </c>
      <c r="G30" s="47" t="inlineStr">
        <is>
          <t>통과</t>
        </is>
      </c>
      <c r="H30" s="33" t="inlineStr">
        <is>
          <t>README.md</t>
        </is>
      </c>
      <c r="I30" s="33" t="inlineStr">
        <is>
          <t>수집 collection.py·bithumb_notices.py·official_docs.py / 색인·검색 store.py / 생성 pipeline.py·prompts.py / 실시간 근거 live.py·market.py·fx.py / API main.py / UI dist/. 도메인 종속 부분은 catalog.py와 수집 모듈.</t>
        </is>
      </c>
    </row>
    <row r="31" ht="34.5" customHeight="1" s="28">
      <c r="B31" s="49" t="n"/>
      <c r="C31" s="46" t="n">
        <v>23</v>
      </c>
      <c r="D31" s="46" t="inlineStr">
        <is>
          <t>NF2006</t>
        </is>
      </c>
      <c r="E31" s="36" t="inlineStr">
        <is>
          <t>외부 호출의 재시도 · 호출 간격과 출처가 요구하는 식별 정보(예: 위키백과 User-Agent 연락처)를 지켰다</t>
        </is>
      </c>
      <c r="F31" s="36" t="inlineStr">
        <is>
          <t>호출 코드의 재시도 · 간격 · 헤더 확인</t>
        </is>
      </c>
      <c r="G31" s="47" t="inlineStr">
        <is>
          <t>통과</t>
        </is>
      </c>
      <c r="H31" s="33" t="inlineStr">
        <is>
          <t>docs/SOURCES.md, backend/market.py, backend/official_docs.py</t>
        </is>
      </c>
      <c r="I31" s="33" t="inlineStr">
        <is>
          <t>시세 429·502·503 재시도 2회(Retry-After 존중)·5초 캐시, 공식 문서 3회 백오프·요청 간 1초, 빗썸 공지·상태 요청 간 1.1초. 빗썸 공지·상태와 공식 문서 요청은 프로젝트 식별 User-Agent를 쓴다. 시세 조회(업비트·바이낸스·OKX 등·빗썸 시세 대체)는 브라우저형 User-Agent를 쓴다 — 해당 API 문서에 요구하는 식별 형식이 없어서이며 SOURCES.md에 적었다. 위키백과는 쓰지 않는다. 빗썸 공지 본문 페이지가 서버 요청을 403으로 막아 관리자 브라우저로 받은 원문을 넘기는 경로를 썼다(우회용 User-Agent 위장은 하지 않음).</t>
        </is>
      </c>
    </row>
    <row r="32" ht="24" customHeight="1" s="28">
      <c r="B32" s="48" t="n"/>
      <c r="C32" s="46" t="n">
        <v>24</v>
      </c>
      <c r="D32" s="46" t="inlineStr">
        <is>
          <t>NF2007</t>
        </is>
      </c>
      <c r="E32" s="36" t="inlineStr">
        <is>
          <t>사용한 데이터와 문서의 출처 · 이용 조건을 기록했다</t>
        </is>
      </c>
      <c r="F32" s="50" t="inlineStr">
        <is>
          <t>README 확인</t>
        </is>
      </c>
      <c r="G32" s="47" t="inlineStr">
        <is>
          <t>통과</t>
        </is>
      </c>
      <c r="H32" s="33" t="inlineStr">
        <is>
          <t>docs/SOURCES.md, README.md</t>
        </is>
      </c>
      <c r="I32" s="33" t="inlineStr">
        <is>
          <t>출처별 주소·키·호출 정책·이용 조건을 기록했다. 바이낸스·OKX 등 해외 시세 표시 조건, Frankfurter 약관, 빗썸 공지 본문 수집 허용 범위는 '미확인'으로 적었다.</t>
        </is>
      </c>
    </row>
    <row r="33" ht="34.5" customHeight="1" s="28">
      <c r="B33" s="45" t="inlineStr">
        <is>
          <t>제출 전 점검</t>
        </is>
      </c>
      <c r="C33" s="46" t="n">
        <v>25</v>
      </c>
      <c r="D33" s="51" t="inlineStr">
        <is>
          <t>필수</t>
        </is>
      </c>
      <c r="E33" s="36" t="inlineStr">
        <is>
          <t>필수 기능 F2001 ~ F2012가 모두 동작하고, 선택한 심화 기능은 필수 기능의 결과와 비교되어 있다</t>
        </is>
      </c>
      <c r="F33" s="36" t="inlineStr">
        <is>
          <t>위 항목의 결과 종합, 비교 기록 확인</t>
        </is>
      </c>
      <c r="G33" s="47" t="inlineStr">
        <is>
          <t>통과</t>
        </is>
      </c>
      <c r="H33" s="33" t="inlineStr">
        <is>
          <t>RESULTS.md</t>
        </is>
      </c>
      <c r="I33" s="33" t="inlineStr">
        <is>
          <t>필수 1~14번 통과. 선택 심화(F2013 화면, F2014 MMR, F2015 RAG 전후, F2016 출처 종류)는 기본 결과와 비교해 기록했다. 점검 중 실패 2건(조건 탐색 0건, 김프 원인 단정)은 고친 뒤 재실행 결과로 적었다.</t>
        </is>
      </c>
    </row>
    <row r="34" ht="24" customHeight="1" s="28">
      <c r="B34" s="49" t="n"/>
      <c r="C34" s="46" t="n">
        <v>26</v>
      </c>
      <c r="D34" s="51" t="inlineStr">
        <is>
          <t>필수</t>
        </is>
      </c>
      <c r="E34" s="36" t="inlineStr">
        <is>
          <t>증명을 위한 스크린샷 항목을 모두 첨부했다</t>
        </is>
      </c>
      <c r="F34" s="36" t="inlineStr">
        <is>
          <t>증빙 칸과 첨부 파일 대조</t>
        </is>
      </c>
      <c r="G34" s="47" t="inlineStr">
        <is>
          <t>통과</t>
        </is>
      </c>
      <c r="H34" s="33" t="inlineStr">
        <is>
          <t>screenshots/</t>
        </is>
      </c>
      <c r="I34" s="33" t="inlineStr">
        <is>
          <t>증빙 칸의 캡처 11장을 screenshots/에 넣었다. 캡처에 키·오류 상세는 없다. 08·09·13번 캡처의 문서 패널에 보이는 '검색 서버 연결 후 문서를 확인할 수 있습니다.'는 점검 중 발견한 화면 오류이며, 수정 후 캡처는 19_document_panel_after_fix.jpg다.</t>
        </is>
      </c>
    </row>
    <row r="35" ht="48" customHeight="1" s="28">
      <c r="B35" s="48" t="n"/>
      <c r="C35" s="46" t="n">
        <v>27</v>
      </c>
      <c r="D35" s="51" t="inlineStr">
        <is>
          <t>필수</t>
        </is>
      </c>
      <c r="E35" s="36" t="inlineStr">
        <is>
          <t>요구사항 정의서 · RAG 파이프라인 설계문서 · 소스코드 · README.md · 검증 결과(요구사항 대조표, 테스트 결과표, 셀프 · 상호 체크리스트)를 모두 포함했다</t>
        </is>
      </c>
      <c r="F35" s="36" t="inlineStr">
        <is>
          <t>제출물 폴더 확인</t>
        </is>
      </c>
      <c r="G35" s="47" t="inlineStr">
        <is>
          <t>실패</t>
        </is>
      </c>
      <c r="H35" s="33" t="inlineStr">
        <is>
          <t>README.md, docs/TEST_RESULTS.md, RESULTS.md</t>
        </is>
      </c>
      <c r="I35" s="33" t="inlineStr">
        <is>
          <t>포함: 소스코드, README, 테스트 결과표(docs/TEST_RESULTS.md), 셀프 체크리스트·요구사항별 대조(이 문서), RAG 전후 비교. 빠짐: 요구사항 정의서, RAG 파이프라인 설계문서(별도 문서). 설계 내용은 README 3절에만 있다. 조치: 두 문서 작성 후 재점검. 상호 체크리스트는 상호 점검 시간에 작성.</t>
        </is>
      </c>
    </row>
    <row r="37" ht="19.5" customHeight="1" s="28">
      <c r="B37" s="32" t="inlineStr">
        <is>
          <t>집계</t>
        </is>
      </c>
      <c r="C37" s="52" t="inlineStr">
        <is>
          <t>통과</t>
        </is>
      </c>
      <c r="D37" s="34" t="n"/>
      <c r="E37" s="35" t="n"/>
      <c r="F37" s="53">
        <f>COUNTIF($G$9:$G$35,"통과")</f>
        <v/>
      </c>
      <c r="G37" s="36" t="inlineStr">
        <is>
          <t>제출 전에 「실패」 · 「미확인」 · 「미기입」이 남아 있으면 비고에 사유가 적혀 있는지 확인합니다.</t>
        </is>
      </c>
      <c r="H37" s="37" t="n"/>
      <c r="I37" s="38" t="n"/>
    </row>
    <row r="38" ht="19.5" customHeight="1" s="28">
      <c r="B38" s="49" t="n"/>
      <c r="C38" s="52" t="inlineStr">
        <is>
          <t>실패</t>
        </is>
      </c>
      <c r="D38" s="34" t="n"/>
      <c r="E38" s="35" t="n"/>
      <c r="F38" s="53">
        <f>COUNTIF($G$9:$G$35,"실패")</f>
        <v/>
      </c>
      <c r="G38" s="39" t="n"/>
      <c r="I38" s="40" t="n"/>
    </row>
    <row r="39" ht="19.5" customHeight="1" s="28">
      <c r="B39" s="49" t="n"/>
      <c r="C39" s="52" t="inlineStr">
        <is>
          <t>미확인</t>
        </is>
      </c>
      <c r="D39" s="34" t="n"/>
      <c r="E39" s="35" t="n"/>
      <c r="F39" s="53">
        <f>COUNTIF($G$9:$G$35,"미확인")</f>
        <v/>
      </c>
      <c r="G39" s="39" t="n"/>
      <c r="I39" s="40" t="n"/>
    </row>
    <row r="40" ht="19.5" customHeight="1" s="28">
      <c r="B40" s="49" t="n"/>
      <c r="C40" s="52" t="inlineStr">
        <is>
          <t>해당없음</t>
        </is>
      </c>
      <c r="D40" s="34" t="n"/>
      <c r="E40" s="35" t="n"/>
      <c r="F40" s="53">
        <f>COUNTIF($G$9:$G$35,"해당없음")</f>
        <v/>
      </c>
      <c r="G40" s="39" t="n"/>
      <c r="I40" s="40" t="n"/>
    </row>
    <row r="41" ht="19.5" customHeight="1" s="28">
      <c r="B41" s="49" t="n"/>
      <c r="C41" s="52" t="inlineStr">
        <is>
          <t>미기입</t>
        </is>
      </c>
      <c r="D41" s="34" t="n"/>
      <c r="E41" s="35" t="n"/>
      <c r="F41" s="53">
        <f>COUNTA($E$9:$E$35)-COUNTA($G$9:$G$35)</f>
        <v/>
      </c>
      <c r="G41" s="39" t="n"/>
      <c r="I41" s="40" t="n"/>
    </row>
    <row r="42" ht="19.5" customHeight="1" s="28">
      <c r="B42" s="48" t="n"/>
      <c r="C42" s="52" t="inlineStr">
        <is>
          <t>전체 항목</t>
        </is>
      </c>
      <c r="D42" s="34" t="n"/>
      <c r="E42" s="35" t="n"/>
      <c r="F42" s="53">
        <f>COUNTA($E$9:$E$35)</f>
        <v/>
      </c>
      <c r="G42" s="41" t="n"/>
      <c r="H42" s="42" t="n"/>
      <c r="I42" s="43" t="n"/>
    </row>
    <row r="43" ht="7.5" customHeight="1" s="28"/>
    <row r="44" ht="21.75" customHeight="1" s="28">
      <c r="B44" s="54" t="inlineStr">
        <is>
          <t>상호 점검 피드백 — 상호 점검 때만 작성 (짧게 한두 문장)</t>
        </is>
      </c>
      <c r="C44" s="34" t="n"/>
      <c r="D44" s="34" t="n"/>
      <c r="E44" s="34" t="n"/>
      <c r="F44" s="34" t="n"/>
      <c r="G44" s="34" t="n"/>
      <c r="H44" s="34" t="n"/>
      <c r="I44" s="35" t="n"/>
    </row>
    <row r="45" ht="42" customHeight="1" s="28">
      <c r="B45" s="52" t="inlineStr">
        <is>
          <t>잘한 것 하나</t>
        </is>
      </c>
      <c r="C45" s="55" t="n"/>
      <c r="D45" s="34" t="n"/>
      <c r="E45" s="34" t="n"/>
      <c r="F45" s="34" t="n"/>
      <c r="G45" s="34" t="n"/>
      <c r="H45" s="34" t="n"/>
      <c r="I45" s="35" t="n"/>
    </row>
    <row r="46" ht="42" customHeight="1" s="28">
      <c r="B46" s="52" t="inlineStr">
        <is>
          <t>개선할 것 하나</t>
        </is>
      </c>
      <c r="C46" s="55" t="n"/>
      <c r="D46" s="34" t="n"/>
      <c r="E46" s="34" t="n"/>
      <c r="F46" s="34" t="n"/>
      <c r="G46" s="34" t="n"/>
      <c r="H46" s="34" t="n"/>
      <c r="I46" s="35" t="n"/>
    </row>
  </sheetData>
  <mergeCells count="25">
    <mergeCell ref="C41:E41"/>
    <mergeCell ref="B7:I7"/>
    <mergeCell ref="C40:E40"/>
    <mergeCell ref="B28:B32"/>
    <mergeCell ref="B33:B35"/>
    <mergeCell ref="B14:B17"/>
    <mergeCell ref="F3:I6"/>
    <mergeCell ref="B2:I2"/>
    <mergeCell ref="C39:E39"/>
    <mergeCell ref="C38:E38"/>
    <mergeCell ref="B37:B42"/>
    <mergeCell ref="C45:I45"/>
    <mergeCell ref="B9:B10"/>
    <mergeCell ref="B44:I44"/>
    <mergeCell ref="C37:E37"/>
    <mergeCell ref="C3:E3"/>
    <mergeCell ref="B11:B13"/>
    <mergeCell ref="C6:E6"/>
    <mergeCell ref="C42:E42"/>
    <mergeCell ref="B18:B22"/>
    <mergeCell ref="C5:E5"/>
    <mergeCell ref="G37:I42"/>
    <mergeCell ref="C4:E4"/>
    <mergeCell ref="C46:I46"/>
    <mergeCell ref="B23:B27"/>
  </mergeCells>
  <conditionalFormatting sqref="G9:G35">
    <cfRule type="cellIs" rank="0" priority="2" equalAverage="0" operator="equal" aboveAverage="0" dxfId="0" text="" percent="0" bottom="0">
      <formula>"통과"</formula>
    </cfRule>
    <cfRule type="cellIs" rank="0" priority="3" equalAverage="0" operator="equal" aboveAverage="0" dxfId="1" text="" percent="0" bottom="0">
      <formula>"실패"</formula>
    </cfRule>
    <cfRule type="cellIs" rank="0" priority="4" equalAverage="0" operator="equal" aboveAverage="0" dxfId="2" text="" percent="0" bottom="0">
      <formula>"미확인"</formula>
    </cfRule>
    <cfRule type="cellIs" rank="0" priority="5" equalAverage="0" operator="equal" aboveAverage="0" dxfId="3" text="" percent="0" bottom="0">
      <formula>"해당없음"</formula>
    </cfRule>
  </conditionalFormatting>
  <dataValidations count="2">
    <dataValidation sqref="C3" showDropDown="0" showInputMessage="0" showErrorMessage="0" allowBlank="1" type="list" errorStyle="stop" operator="between">
      <formula1>"셀프,상호"</formula1>
      <formula2>0</formula2>
    </dataValidation>
    <dataValidation sqref="G9:G35" showDropDown="0" showInputMessage="0" showErrorMessage="1" allowBlank="1" errorTitle="결과 선택" error="통과 / 실패 / 미확인 / 해당없음 중에서 선택하세요." type="list" errorStyle="stop" operator="between">
      <formula1>"통과,실패,미확인,해당없음"</formula1>
      <formula2>0</formula2>
    </dataValidation>
  </dataValidations>
  <printOptions horizontalCentered="0" verticalCentered="0" headings="0" gridLines="0" gridLinesSet="1"/>
  <pageMargins left="0.4" right="0.4" top="0.5" bottom="0.5" header="0.511811023622047" footer="0.5"/>
  <pageSetup orientation="landscape" paperSize="9" scale="100" fitToHeight="0" fitToWidth="1" pageOrder="downThenOver" blackAndWhite="0" draft="0" horizontalDpi="300" verticalDpi="300" copies="1"/>
  <headerFooter differentOddEven="0" differentFirst="0">
    <oddHeader/>
    <oddFooter>&amp;C&amp;8 &amp;P / &amp;N 쪽 · 확인하지 않은 것을 통과로 적지 않습니다.</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2:H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125" defaultRowHeight="15" zeroHeight="0" outlineLevelRow="0"/>
  <cols>
    <col width="3" customWidth="1" style="27" min="1" max="1"/>
    <col width="16" customWidth="1" style="27" min="2" max="2"/>
    <col width="6" customWidth="1" style="27" min="3" max="3"/>
    <col width="14" customWidth="1" style="27" min="4" max="4"/>
    <col width="46" customWidth="1" style="27" min="5" max="5"/>
    <col width="12" customWidth="1" style="27" min="6" max="6"/>
    <col width="26" customWidth="1" style="27" min="7" max="7"/>
    <col width="40" customWidth="1" style="27" min="8" max="8"/>
  </cols>
  <sheetData>
    <row r="2" ht="30" customHeight="1" s="28">
      <c r="B2" s="56" t="inlineStr">
        <is>
          <t>셀프 · 상호 체크리스트 작성 안내</t>
        </is>
      </c>
    </row>
    <row r="4" ht="45.75" customHeight="1" s="28">
      <c r="B4" s="57" t="inlineStr">
        <is>
          <t>언제</t>
        </is>
      </c>
      <c r="C4" s="58" t="inlineStr">
        <is>
          <t>셀프 — 3일차 15:30 ~ 16:30 · 내 앱을 직접 실행하며 항목을 하나씩 확인합니다.
상호 — 3일차 16:30 ~ 17:30 · 셀프 때와 같은 양식으로 옆 교육생의 앱을 점검하고, 점검자 칸에 이름을 적어 주고받습니다.</t>
        </is>
      </c>
      <c r="D4" s="34" t="n"/>
      <c r="E4" s="34" t="n"/>
      <c r="F4" s="34" t="n"/>
      <c r="G4" s="34" t="n"/>
      <c r="H4" s="35" t="n"/>
    </row>
    <row r="5" ht="45.75" customHeight="1" s="28">
      <c r="B5" s="57" t="inlineStr">
        <is>
          <t>무엇을 적나</t>
        </is>
      </c>
      <c r="C5" s="58" t="inlineStr">
        <is>
          <t>점검 유형(셀프 · 상호) · 앱 작성자 · 점검자 · 점검 일시, 그리고 항목마다 결과 · 증빙 · 비고를 적습니다.
연한 노란 칸만 입력합니다. 확인 항목과 확인 방법은 고치지 않습니다.</t>
        </is>
      </c>
      <c r="D5" s="34" t="n"/>
      <c r="E5" s="34" t="n"/>
      <c r="F5" s="34" t="n"/>
      <c r="G5" s="34" t="n"/>
      <c r="H5" s="35" t="n"/>
    </row>
    <row r="6" ht="81.75" customHeight="1" s="28">
      <c r="B6" s="57" t="inlineStr">
        <is>
          <t>결과</t>
        </is>
      </c>
      <c r="C6" s="58" t="inlineStr">
        <is>
          <t>통과 — 직접 실행해 기대한 결과를 확인함 (증명이 필요한 항목은 증빙 첨부)
실패 — 실행했으나 기대와 다름 → 비고에 사유와 조치
미확인 — 실행하지 못함 → 비고에 사유
해당없음 — 선택하지 않은 심화 항목, 해당하지 않는 도메인 항목</t>
        </is>
      </c>
      <c r="D6" s="34" t="n"/>
      <c r="E6" s="34" t="n"/>
      <c r="F6" s="34" t="n"/>
      <c r="G6" s="34" t="n"/>
      <c r="H6" s="35" t="n"/>
    </row>
    <row r="7" ht="45.75" customHeight="1" s="28">
      <c r="B7" s="57" t="inlineStr">
        <is>
          <t>증빙</t>
        </is>
      </c>
      <c r="C7" s="58" t="inlineStr">
        <is>
          <t>화면 캡처의 파일명을 적고 제출물에 함께 넣습니다. 번호를 앞에 붙이면 찾기 쉽습니다. 예) 04_재질문_수집로그.png
캡처에 API 키와 오류 상세 내용이 보이지 않게 합니다.</t>
        </is>
      </c>
      <c r="D7" s="34" t="n"/>
      <c r="E7" s="34" t="n"/>
      <c r="F7" s="34" t="n"/>
      <c r="G7" s="34" t="n"/>
      <c r="H7" s="35" t="n"/>
    </row>
    <row r="8" ht="27.75" customHeight="1" s="28">
      <c r="B8" s="57" t="inlineStr">
        <is>
          <t>집계</t>
        </is>
      </c>
      <c r="C8" s="58" t="inlineStr">
        <is>
          <t>체크리스트 아래 집계 칸이 결과를 자동으로 셉니다. 제출 전에 「실패」 · 「미확인」 · 「미기입」이 남아 있으면 비고에 사유가 적혀 있는지 확인합니다.</t>
        </is>
      </c>
      <c r="D8" s="34" t="n"/>
      <c r="E8" s="34" t="n"/>
      <c r="F8" s="34" t="n"/>
      <c r="G8" s="34" t="n"/>
      <c r="H8" s="35" t="n"/>
    </row>
    <row r="9" ht="45.75" customHeight="1" s="28">
      <c r="B9" s="57" t="inlineStr">
        <is>
          <t>상호 피드백</t>
        </is>
      </c>
      <c r="C9" s="58" t="inlineStr">
        <is>
          <t>상호 점검 때는 맨 아래에 잘한 것 하나, 개선할 것 하나를 짧게 적어 돌려줍니다.
지적받은 결함 중 고칠 수 있는 것만 고치고 최종 제출합니다. 새 기능은 넣지 않습니다.</t>
        </is>
      </c>
      <c r="D9" s="34" t="n"/>
      <c r="E9" s="34" t="n"/>
      <c r="F9" s="34" t="n"/>
      <c r="G9" s="34" t="n"/>
      <c r="H9" s="35" t="n"/>
    </row>
    <row r="10" ht="27.75" customHeight="1" s="28">
      <c r="B10" s="57" t="inlineStr">
        <is>
          <t>가장 중요한 규칙</t>
        </is>
      </c>
      <c r="C10" s="59" t="inlineStr">
        <is>
          <t>확인하지 않은 것을 통과로 적지 않습니다.</t>
        </is>
      </c>
      <c r="D10" s="34" t="n"/>
      <c r="E10" s="34" t="n"/>
      <c r="F10" s="34" t="n"/>
      <c r="G10" s="34" t="n"/>
      <c r="H10" s="35" t="n"/>
    </row>
    <row r="12" ht="15" customHeight="1" s="28">
      <c r="B12" s="60" t="inlineStr">
        <is>
          <t>작성 예시 — 모양만 보여 주는 예입니다. 실제 체크리스트에는 이 줄을 옮기지 않습니다.</t>
        </is>
      </c>
    </row>
    <row r="13" ht="15" customHeight="1" s="28">
      <c r="B13" s="61" t="inlineStr">
        <is>
          <t>영역</t>
        </is>
      </c>
      <c r="C13" s="61" t="inlineStr">
        <is>
          <t>번호</t>
        </is>
      </c>
      <c r="D13" s="61" t="inlineStr">
        <is>
          <t>요구사항</t>
        </is>
      </c>
      <c r="E13" s="61" t="inlineStr">
        <is>
          <t>확인 항목</t>
        </is>
      </c>
      <c r="F13" s="61" t="inlineStr">
        <is>
          <t>결과</t>
        </is>
      </c>
      <c r="G13" s="61" t="inlineStr">
        <is>
          <t>증빙 (캡처 · 파일명)</t>
        </is>
      </c>
      <c r="H13" s="61" t="inlineStr">
        <is>
          <t>비고 (실패 · 미확인 사유)</t>
        </is>
      </c>
    </row>
    <row r="14" ht="45.75" customHeight="1" s="28">
      <c r="B14" s="36" t="inlineStr">
        <is>
          <t>문서 수집과 색인</t>
        </is>
      </c>
      <c r="C14" s="62" t="n">
        <v>4</v>
      </c>
      <c r="D14" s="63" t="inlineStr">
        <is>
          <t>F2004 · NF2002</t>
        </is>
      </c>
      <c r="E14" s="36" t="inlineStr">
        <is>
          <t>같은 질문을 다시 물었을 때 수집이 다시 일어나지 않는다</t>
        </is>
      </c>
      <c r="F14" s="64" t="inlineStr">
        <is>
          <t>통과</t>
        </is>
      </c>
      <c r="G14" s="63" t="inlineStr">
        <is>
          <t>04_재질문_수집로그.png</t>
        </is>
      </c>
      <c r="H14" s="36" t="n"/>
    </row>
    <row r="15" ht="45.75" customHeight="1" s="28">
      <c r="B15" s="36" t="inlineStr">
        <is>
          <t>답변과 근거</t>
        </is>
      </c>
      <c r="C15" s="62" t="n">
        <v>9</v>
      </c>
      <c r="D15" s="63" t="inlineStr">
        <is>
          <t>F2007 · F2008</t>
        </is>
      </c>
      <c r="E15" s="36" t="inlineStr">
        <is>
          <t>문서에 없는 것을 물으면 추측하지 않고 확인되지 않는다고 답하며, 인용된 근거가 없으면 그 사실이 화면에 안내된다</t>
        </is>
      </c>
      <c r="F15" s="65" t="inlineStr">
        <is>
          <t>실패</t>
        </is>
      </c>
      <c r="G15" s="63" t="inlineStr">
        <is>
          <t>09_없는내용_질문.png</t>
        </is>
      </c>
      <c r="H15" s="36" t="inlineStr">
        <is>
          <t>안내 문구는 나오지만 답변에 추측이 섞임 → 프롬프트 3에 '문서에 없으면 답하지 않는다' 규칙 추가 예정</t>
        </is>
      </c>
    </row>
    <row r="16" ht="45.75" customHeight="1" s="28">
      <c r="B16" s="36" t="inlineStr">
        <is>
          <t>심화 기능 (선택한 것만)</t>
        </is>
      </c>
      <c r="C16" s="62" t="n">
        <v>16</v>
      </c>
      <c r="D16" s="63" t="inlineStr">
        <is>
          <t>F2014</t>
        </is>
      </c>
      <c r="E16" s="36" t="inlineStr">
        <is>
          <t>같은 질문에 유사도 검색과 MMR 검색을 각각 적용했을 때 근거 목록이 어떻게 달라지는지 확인된다</t>
        </is>
      </c>
      <c r="F16" s="66" t="inlineStr">
        <is>
          <t>해당없음</t>
        </is>
      </c>
      <c r="G16" s="36" t="n"/>
      <c r="H16" s="63" t="inlineStr">
        <is>
          <t>MMR 심화 기능을 선택하지 않음</t>
        </is>
      </c>
    </row>
    <row r="17" ht="45.75" customHeight="1" s="28">
      <c r="B17" s="36" t="inlineStr">
        <is>
          <t>비기능 요구사항</t>
        </is>
      </c>
      <c r="C17" s="62" t="n">
        <v>20</v>
      </c>
      <c r="D17" s="63" t="inlineStr">
        <is>
          <t>NF2001</t>
        </is>
      </c>
      <c r="E17" s="36" t="inlineStr">
        <is>
          <t>대표 질문의 전체 처리 시간이 사용에 지장이 없다</t>
        </is>
      </c>
      <c r="F17" s="67" t="inlineStr">
        <is>
          <t>미확인</t>
        </is>
      </c>
      <c r="G17" s="36" t="n"/>
      <c r="H17" s="63" t="inlineStr">
        <is>
          <t>GMS 응답 지연으로 측정 못 함 → 상호 점검 전에 다시 측정</t>
        </is>
      </c>
    </row>
  </sheetData>
  <mergeCells count="9">
    <mergeCell ref="C6:H6"/>
    <mergeCell ref="C10:H10"/>
    <mergeCell ref="C5:H5"/>
    <mergeCell ref="C9:H9"/>
    <mergeCell ref="B12:H12"/>
    <mergeCell ref="B2:H2"/>
    <mergeCell ref="C8:H8"/>
    <mergeCell ref="C4:H4"/>
    <mergeCell ref="C7:H7"/>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2026-08-25T11:58:43Z</dcterms:created>
  <dcterms:modified xmlns:dcterms="http://purl.org/dc/terms/" xmlns:xsi="http://www.w3.org/2001/XMLSchema-instance" xsi:type="dcterms:W3CDTF">2026-10-23T07:33:29Z</dcterms:modified>
  <cp:lastModifiedBy>처음처럼 늘</cp:lastModifiedBy>
  <cp:revision>0</cp:revision>
</cp:coreProperties>
</file>